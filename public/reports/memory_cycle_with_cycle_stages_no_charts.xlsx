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98bbca158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 Analysis" sheetId="1" r:id="R49c7699b317f45e8"/>
    <x:sheet xmlns:r="http://schemas.openxmlformats.org/officeDocument/2006/relationships" name="SK hynix Analysis" sheetId="2" r:id="Ra1904fe321454366"/>
    <x:sheet xmlns:r="http://schemas.openxmlformats.org/officeDocument/2006/relationships" name="Samsung Analysis" sheetId="3" r:id="R7f5d32c96fa64314"/>
    <x:sheet xmlns:r="http://schemas.openxmlformats.org/officeDocument/2006/relationships" name="Dashboard" sheetId="4" r:id="R7f0d4e960aa14c56"/>
    <x:sheet xmlns:r="http://schemas.openxmlformats.org/officeDocument/2006/relationships" name="Cycle Rules" sheetId="5" r:id="Ra72ed44d0c1049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%;[Red](0.0%);-"/>
    <x:numFmt numFmtId="202" formatCode="0.0&quot;x&quot;;[Red](0.0&quot;x&quot;);-"/>
    <x:numFmt numFmtId="203" formatCode="#,##0.0;[Red](#,##0.0);-"/>
  </x:numFmts>
  <x:fonts count="9">
    <x:font>
      <x:sz val="11"/>
      <x:name val="Carlito"/>
    </x:font>
    <x:font>
      <x:b/>
      <x:sz val="14"/>
      <x:color rgb="FFFFFFFF"/>
      <x:name val="Carlito"/>
    </x:font>
    <x:font>
      <x:i/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33B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17233B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6" fillId="0" borderId="1" xfId="0" applyNumberFormat="1" applyFont="1" applyFill="1" applyBorder="1"/>
    <x:xf numFmtId="0" fontId="6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5a91346d842d9" /><Relationship Type="http://schemas.openxmlformats.org/officeDocument/2006/relationships/theme" Target="/xl/theme/theme1.xml" Id="R49725df7f3b140d7" /><Relationship Type="http://schemas.openxmlformats.org/officeDocument/2006/relationships/sharedStrings" Target="/xl/sharedStrings.xml" Id="R431e054c6e154059" /><Relationship Type="http://schemas.openxmlformats.org/officeDocument/2006/relationships/worksheet" Target="/xl/worksheets/sheet1.xml" Id="R49c7699b317f45e8" /><Relationship Type="http://schemas.openxmlformats.org/officeDocument/2006/relationships/worksheet" Target="/xl/worksheets/sheet2.xml" Id="Ra1904fe321454366" /><Relationship Type="http://schemas.openxmlformats.org/officeDocument/2006/relationships/worksheet" Target="/xl/worksheets/sheet3.xml" Id="R7f5d32c96fa64314" /><Relationship Type="http://schemas.openxmlformats.org/officeDocument/2006/relationships/worksheet" Target="/xl/worksheets/sheet4.xml" Id="R7f0d4e960aa14c56" /><Relationship Type="http://schemas.openxmlformats.org/officeDocument/2006/relationships/worksheet" Target="/xl/worksheets/sheet5.xml" Id="Ra72ed44d0c104912" /></Relationships>
</file>

<file path=xl/tables/table1.xml><?xml version="1.0" encoding="utf-8"?>
<x:table xmlns:x="http://schemas.openxmlformats.org/spreadsheetml/2006/main" id="1" name="MURelationshipTable" displayName="MURelationshipTable" ref="A4:N108" headerRowCount="1">
  <x:tableColumns count="14">
    <x:tableColumn id="1" name="Date"/>
    <x:tableColumn id="2" name="Cumulative Stock Perf"/>
    <x:tableColumn id="3" name="Stock Return 1M"/>
    <x:tableColumn id="4" name="Stock Return 3M"/>
    <x:tableColumn id="5" name="Stock Return 6M"/>
    <x:tableColumn id="6" name="EV/EBITDA NTM (x)"/>
    <x:tableColumn id="7" name="Multiple Change 3M"/>
    <x:tableColumn id="8" name="NTM EBITDA (USD bn)"/>
    <x:tableColumn id="9" name="EBITDA Revision 1M"/>
    <x:tableColumn id="10" name="EBITDA Revision 3M"/>
    <x:tableColumn id="11" name="EBITDA Revision 6M"/>
    <x:tableColumn id="12" name="EBITDA Revision Accel"/>
    <x:tableColumn id="13" name="Earnings - Price Gap 3M"/>
    <x:tableColumn id="14" name="Signal"/>
  </x:tableColumns>
  <x:tableStyleInfo name="TableStyleMedium2" showRowStripes="1"/>
</x:table>
</file>

<file path=xl/tables/table2.xml><?xml version="1.0" encoding="utf-8"?>
<x:table xmlns:x="http://schemas.openxmlformats.org/spreadsheetml/2006/main" id="2" name="SKRelationshipTable" displayName="SKRelationshipTable" ref="A4:N108" headerRowCount="1">
  <x:tableColumns count="14">
    <x:tableColumn id="1" name="Date"/>
    <x:tableColumn id="2" name="Cumulative Stock Perf"/>
    <x:tableColumn id="3" name="Stock Return 1M"/>
    <x:tableColumn id="4" name="Stock Return 3M"/>
    <x:tableColumn id="5" name="Stock Return 6M"/>
    <x:tableColumn id="6" name="EV/EBITDA NTM (x)"/>
    <x:tableColumn id="7" name="Multiple Change 3M"/>
    <x:tableColumn id="8" name="NTM EBITDA (KRW bn)"/>
    <x:tableColumn id="9" name="EBITDA Revision 1M"/>
    <x:tableColumn id="10" name="EBITDA Revision 3M"/>
    <x:tableColumn id="11" name="EBITDA Revision 6M"/>
    <x:tableColumn id="12" name="EBITDA Revision Accel"/>
    <x:tableColumn id="13" name="Earnings - Price Gap 3M"/>
    <x:tableColumn id="14" name="Signal"/>
  </x:tableColumns>
  <x:tableStyleInfo name="TableStyleMedium2" showRowStripes="1"/>
</x:table>
</file>

<file path=xl/tables/table3.xml><?xml version="1.0" encoding="utf-8"?>
<x:table xmlns:x="http://schemas.openxmlformats.org/spreadsheetml/2006/main" id="3" name="SAMRelationshipTable" displayName="SAMRelationshipTable" ref="A4:N108" headerRowCount="1">
  <x:tableColumns count="14">
    <x:tableColumn id="1" name="Date"/>
    <x:tableColumn id="2" name="Cumulative Stock Perf"/>
    <x:tableColumn id="3" name="Stock Return 1M"/>
    <x:tableColumn id="4" name="Stock Return 3M"/>
    <x:tableColumn id="5" name="Stock Return 6M"/>
    <x:tableColumn id="6" name="EV/EBITDA NTM (x)"/>
    <x:tableColumn id="7" name="Multiple Change 3M"/>
    <x:tableColumn id="8" name="NTM EBITDA (KRW bn)"/>
    <x:tableColumn id="9" name="EBITDA Revision 1M"/>
    <x:tableColumn id="10" name="EBITDA Revision 3M"/>
    <x:tableColumn id="11" name="EBITDA Revision 6M"/>
    <x:tableColumn id="12" name="EBITDA Revision Accel"/>
    <x:tableColumn id="13" name="Earnings - Price Gap 3M"/>
    <x:tableColumn id="14" name="Sign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182469c06d4e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4b2b1cab964b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03539f87cf4b1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7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  <x:col min="13" max="13" width="22" hidden="0" customWidth="1"/>
    <x:col min="14" max="14" width="24" hidden="0" customWidth="1"/>
    <x:col min="15" max="15" width="22" hidden="0" customWidth="1"/>
    <x:col min="16" max="16" width="22" hidden="0" customWidth="1"/>
    <x:col min="17" max="17" width="24" hidden="0" customWidth="1"/>
    <x:col min="18" max="18" width="23" hidden="0" customWidth="1"/>
    <x:col min="19" max="19" width="17" hidden="0" customWidth="1"/>
    <x:col min="20" max="20" width="24" hidden="0" customWidth="1"/>
    <x:col min="21" max="21" width="22" hidden="0" customWidth="1"/>
    <x:col min="22" max="22" width="17" hidden="0" customWidth="1"/>
    <x:col min="23" max="23" width="31" hidden="0" customWidth="1"/>
    <x:col min="24" max="24" width="82" hidden="0" customWidth="1"/>
  </x:cols>
  <x:sheetData>
    <x:row r="1">
      <x:c r="A1" s="5" t="str">
        <x:v>Micron — Stock vs NTM EBITDA vs Valuation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3" t="str">
        <x:v>Stock Performance comes from Koyfin export. EV/EBITDA (NTM) and EBITDA Consensus (NTM) are approximate monthly values digitized from the Koyfin charts. Use the derived growth rates for cycle/trend analysis rather than exact point-in-time valuation.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20" t="str">
        <x:v>Date</x:v>
      </x:c>
      <x:c r="B4" s="20" t="str">
        <x:v>Cumulative Stock Perf</x:v>
      </x:c>
      <x:c r="C4" s="20" t="str">
        <x:v>Stock Return 1M</x:v>
      </x:c>
      <x:c r="D4" s="20" t="str">
        <x:v>Stock Return 3M</x:v>
      </x:c>
      <x:c r="E4" s="20" t="str">
        <x:v>Stock Return 6M</x:v>
      </x:c>
      <x:c r="F4" s="20" t="str">
        <x:v>EV/EBITDA NTM (x)</x:v>
      </x:c>
      <x:c r="G4" s="20" t="str">
        <x:v>Multiple Change 3M</x:v>
      </x:c>
      <x:c r="H4" s="20" t="str">
        <x:v>NTM EBITDA (USD bn)</x:v>
      </x:c>
      <x:c r="I4" s="20" t="str">
        <x:v>EBITDA Revision 1M</x:v>
      </x:c>
      <x:c r="J4" s="20" t="str">
        <x:v>EBITDA Revision 3M</x:v>
      </x:c>
      <x:c r="K4" s="20" t="str">
        <x:v>EBITDA Revision 6M</x:v>
      </x:c>
      <x:c r="L4" s="20" t="str">
        <x:v>EBITDA Revision Accel</x:v>
      </x:c>
      <x:c r="M4" s="20" t="str">
        <x:v>Earnings - Price Gap 3M</x:v>
      </x:c>
      <x:c r="N4" s="20" t="str">
        <x:v>Signal</x:v>
      </x:c>
      <x:c r="O4" s="63" t="str">
        <x:v>EBITDA Revision Accel 3M</x:v>
      </x:c>
      <x:c r="P4" s="63" t="str">
        <x:v>Revision Hist Percentile</x:v>
      </x:c>
      <x:c r="Q4" s="63" t="str">
        <x:v>Acceleration Hist Percentile</x:v>
      </x:c>
      <x:c r="R4" s="63" t="str">
        <x:v>EV/EBITDA Hist Percentile</x:v>
      </x:c>
      <x:c r="S4" s="63" t="str">
        <x:v>Valuation Heat</x:v>
      </x:c>
      <x:c r="T4" s="63" t="str">
        <x:v>Stock Return Hist Percentile</x:v>
      </x:c>
      <x:c r="U4" s="63" t="str">
        <x:v>EBITDA Peak Ratio (36M)</x:v>
      </x:c>
      <x:c r="V4" s="63" t="str">
        <x:v>Cycle Heat Score</x:v>
      </x:c>
      <x:c r="W4" s="63" t="str">
        <x:v>Cycle Stage</x:v>
      </x:c>
      <x:c r="X4" s="63" t="str">
        <x:v>Cycle Reason</x:v>
      </x:c>
    </x:row>
    <x:row r="5">
      <x:c r="A5" s="32" t="n">
        <x:v>43131</x:v>
      </x:c>
      <x:c r="B5" s="33" t="n">
        <x:v>0.0632</x:v>
      </x:c>
      <x:c r="C5" s="40"/>
      <x:c r="D5" s="40"/>
      <x:c r="E5" s="40"/>
      <x:c r="F5" s="36" t="n">
        <x:v>3.105939686172374</x:v>
      </x:c>
      <x:c r="G5" s="40"/>
      <x:c r="H5" s="38" t="n">
        <x:v>17.2892761200966</x:v>
      </x:c>
      <x:c r="I5" s="40"/>
      <x:c r="J5" s="40"/>
      <x:c r="K5" s="40"/>
      <x:c r="L5" s="40"/>
      <x:c r="M5" s="40"/>
      <x:c r="N5" s="42"/>
      <x:c r="O5" s="40"/>
      <x:c r="P5" s="40"/>
      <x:c r="Q5" s="40"/>
      <x:c r="R5" s="40" t="n">
        <x:v>0.14084507042253522</x:v>
      </x:c>
      <x:c r="S5" s="40" t="n">
        <x:v>0.8591549295774648</x:v>
      </x:c>
      <x:c r="T5" s="40"/>
      <x:c r="U5" s="40" t="n">
        <x:v>1</x:v>
      </x:c>
      <x:c r="V5" s="40"/>
      <x:c r="W5" s="64" t="str">
        <x:v>Stage 0 – Insufficient History</x:v>
      </x:c>
      <x:c r="X5" s="64" t="str">
        <x:v>Rev3M n/a; Accel3M n/a; Stock3M n/a; EV/EBITDA 3.1x (14th pct); PeakRatio36M 100%; Multiple3M n/a; Earnings-Price Gap n/a; CycleHeat n/a. Not enough 3M history to classify reliably.</x:v>
      </x:c>
    </x:row>
    <x:row r="6">
      <x:c r="A6" s="32" t="n">
        <x:v>43159</x:v>
      </x:c>
      <x:c r="B6" s="33" t="n">
        <x:v>0.187</x:v>
      </x:c>
      <x:c r="C6" s="40" t="n">
        <x:f>IFERROR((1+B6)/(1+B5)-1,"")</x:f>
        <x:v>0.11644093303235525</x:v>
      </x:c>
      <x:c r="D6" s="40"/>
      <x:c r="E6" s="40"/>
      <x:c r="F6" s="36" t="n">
        <x:v>3.115205772282331</x:v>
      </x:c>
      <x:c r="G6" s="40"/>
      <x:c r="H6" s="38" t="n">
        <x:v>17.52898511715247</x:v>
      </x:c>
      <x:c r="I6" s="40" t="n">
        <x:f>IFERROR(H6/H5-1,"")</x:f>
        <x:v>0.013864605746983116</x:v>
      </x:c>
      <x:c r="J6" s="40"/>
      <x:c r="K6" s="40"/>
      <x:c r="L6" s="40"/>
      <x:c r="M6" s="40"/>
      <x:c r="N6" s="42"/>
      <x:c r="O6" s="40"/>
      <x:c r="P6" s="40"/>
      <x:c r="Q6" s="40"/>
      <x:c r="R6" s="40" t="n">
        <x:v>0.15492957746478872</x:v>
      </x:c>
      <x:c r="S6" s="40" t="n">
        <x:v>0.8450704225352113</x:v>
      </x:c>
      <x:c r="T6" s="40"/>
      <x:c r="U6" s="40" t="n">
        <x:v>1</x:v>
      </x:c>
      <x:c r="V6" s="40"/>
      <x:c r="W6" s="64" t="str">
        <x:v>Stage 0 – Insufficient History</x:v>
      </x:c>
      <x:c r="X6" s="64" t="str">
        <x:v>Rev3M n/a; Accel3M n/a; Stock3M n/a; EV/EBITDA 3.1x (15th pct); PeakRatio36M 100%; Multiple3M n/a; Earnings-Price Gap n/a; CycleHeat n/a. Not enough 3M history to classify reliably.</x:v>
      </x:c>
    </x:row>
    <x:row r="7">
      <x:c r="A7" s="32" t="n">
        <x:v>43190</x:v>
      </x:c>
      <x:c r="B7" s="33" t="n">
        <x:v>0.268</x:v>
      </x:c>
      <x:c r="C7" s="40" t="n">
        <x:f>IFERROR((1+B7)/(1+B6)-1,"")</x:f>
        <x:v>0.06823925863521474</x:v>
      </x:c>
      <x:c r="D7" s="40"/>
      <x:c r="E7" s="40"/>
      <x:c r="F7" s="36" t="n">
        <x:v>3.8489380841708423</x:v>
      </x:c>
      <x:c r="G7" s="40"/>
      <x:c r="H7" s="38" t="n">
        <x:v>18.268237886056994</x:v>
      </x:c>
      <x:c r="I7" s="40" t="n">
        <x:f>IFERROR(H7/H6-1,"")</x:f>
        <x:v>0.04217316427413409</x:v>
      </x:c>
      <x:c r="J7" s="40"/>
      <x:c r="K7" s="40"/>
      <x:c r="L7" s="40"/>
      <x:c r="M7" s="40"/>
      <x:c r="N7" s="42"/>
      <x:c r="O7" s="40"/>
      <x:c r="P7" s="40"/>
      <x:c r="Q7" s="40"/>
      <x:c r="R7" s="40" t="n">
        <x:v>0.23943661971830985</x:v>
      </x:c>
      <x:c r="S7" s="40" t="n">
        <x:v>0.7605633802816901</x:v>
      </x:c>
      <x:c r="T7" s="40"/>
      <x:c r="U7" s="40" t="n">
        <x:v>1</x:v>
      </x:c>
      <x:c r="V7" s="40"/>
      <x:c r="W7" s="64" t="str">
        <x:v>Stage 0 – Insufficient History</x:v>
      </x:c>
      <x:c r="X7" s="64" t="str">
        <x:v>Rev3M n/a; Accel3M n/a; Stock3M n/a; EV/EBITDA 3.8x (24th pct); PeakRatio36M 100%; Multiple3M n/a; Earnings-Price Gap n/a; CycleHeat n/a. Not enough 3M history to classify reliably.</x:v>
      </x:c>
    </x:row>
    <x:row r="8">
      <x:c r="A8" s="32" t="n">
        <x:v>43220</x:v>
      </x:c>
      <x:c r="B8" s="33" t="n">
        <x:v>0.1182</x:v>
      </x:c>
      <x:c r="C8" s="40" t="n">
        <x:f>IFERROR((1+B8)/(1+B7)-1,"")</x:f>
        <x:v>-0.11813880126182963</x:v>
      </x:c>
      <x:c r="D8" s="40" t="n">
        <x:f>IFERROR((1+B8)/(1+B5)-1,"")</x:f>
        <x:v>0.05173062452972177</x:v>
      </x:c>
      <x:c r="E8" s="40"/>
      <x:c r="F8" s="36" t="n">
        <x:v>2.996873191807271</x:v>
      </x:c>
      <x:c r="G8" s="40" t="n">
        <x:f>IFERROR(F8/F5-1,"")</x:f>
        <x:v>-0.035115457924268956</x:v>
      </x:c>
      <x:c r="H8" s="38" t="n">
        <x:v>19.038667283424605</x:v>
      </x:c>
      <x:c r="I8" s="40" t="n">
        <x:f>IFERROR(H8/H7-1,"")</x:f>
        <x:v>0.04217316427413231</x:v>
      </x:c>
      <x:c r="J8" s="40" t="n">
        <x:f>IFERROR(H8/H5-1,"")</x:f>
        <x:v>0.10118359792371878</x:v>
      </x:c>
      <x:c r="K8" s="40"/>
      <x:c r="L8" s="40"/>
      <x:c r="M8" s="40" t="n">
        <x:f>IFERROR(J8-D8,"")</x:f>
        <x:v>0.04945297339399701</x:v>
      </x:c>
      <x:c r="N8" s="42"/>
      <x:c r="O8" s="40"/>
      <x:c r="P8" s="40" t="n">
        <x:v>0.6911764705882353</x:v>
      </x:c>
      <x:c r="Q8" s="40"/>
      <x:c r="R8" s="40" t="n">
        <x:v>0.11267605633802817</x:v>
      </x:c>
      <x:c r="S8" s="40" t="n">
        <x:v>0.8873239436619719</x:v>
      </x:c>
      <x:c r="T8" s="40" t="n">
        <x:v>0.5441176470588235</x:v>
      </x:c>
      <x:c r="U8" s="40" t="n">
        <x:v>1</x:v>
      </x:c>
      <x:c r="V8" s="40"/>
      <x:c r="W8" s="64" t="str">
        <x:v>Stage 0 – Insufficient History</x:v>
      </x:c>
      <x:c r="X8" s="64" t="str">
        <x:v>Rev3M +10.1%; Accel3M n/a; Stock3M +5.2%; EV/EBITDA 3.0x (11th pct); PeakRatio36M 100%; Multiple3M -3.5%; Earnings-Price Gap +4.9%; CycleHeat n/a. Not enough 3M history to classify reliably.</x:v>
      </x:c>
    </x:row>
    <x:row r="9">
      <x:c r="A9" s="32" t="n">
        <x:v>43251</x:v>
      </x:c>
      <x:c r="B9" s="33" t="n">
        <x:v>0.4005</x:v>
      </x:c>
      <x:c r="C9" s="40" t="n">
        <x:f>IFERROR((1+B9)/(1+B8)-1,"")</x:f>
        <x:v>0.25245930960472185</x:v>
      </x:c>
      <x:c r="D9" s="40" t="n">
        <x:f>IFERROR((1+B9)/(1+B6)-1,"")</x:f>
        <x:v>0.179865206402696</x:v>
      </x:c>
      <x:c r="E9" s="40"/>
      <x:c r="F9" s="36" t="n">
        <x:v>3.4165838817749608</x:v>
      </x:c>
      <x:c r="G9" s="40" t="n">
        <x:f>IFERROR(F9/F6-1,"")</x:f>
        <x:v>0.09674420616902868</x:v>
      </x:c>
      <x:c r="H9" s="38" t="n">
        <x:v>19.978662539559256</x:v>
      </x:c>
      <x:c r="I9" s="40" t="n">
        <x:f>IFERROR(H9/H8-1,"")</x:f>
        <x:v>0.049372954637062705</x:v>
      </x:c>
      <x:c r="J9" s="40" t="n">
        <x:f>IFERROR(H9/H6-1,"")</x:f>
        <x:v>0.13975009996498478</x:v>
      </x:c>
      <x:c r="K9" s="40"/>
      <x:c r="L9" s="40" t="n">
        <x:f>IFERROR(J9-J8,"")</x:f>
        <x:v>0.03856650204126599</x:v>
      </x:c>
      <x:c r="M9" s="40" t="n">
        <x:f>IFERROR(J9-D9,"")</x:f>
        <x:v>-0.04011510643771121</x:v>
      </x:c>
      <x:c r="N9" s="42" t="str">
        <x:f>IF(J9&lt;0,IF(D9&lt;0,"Down-cycle","Price up / earnings down"),IF(AND(J9&gt;0,L9&lt;0,M9&lt;-0.15),"Late-cycle warning",IF(AND(J9&gt;0,M9&gt;0),"Earnings-led expansion",IF(AND(J9&gt;0,D9&lt;0),"Potential dislocation",IF(AND(J9&gt;0,M9&lt;0),"Price ahead / rerating","Neutral")))))</x:f>
        <x:v>Price ahead / rerating</x:v>
      </x:c>
      <x:c r="O9" s="40"/>
      <x:c r="P9" s="40" t="n">
        <x:v>0.8088235294117647</x:v>
      </x:c>
      <x:c r="Q9" s="40"/>
      <x:c r="R9" s="40" t="n">
        <x:v>0.2112676056338028</x:v>
      </x:c>
      <x:c r="S9" s="40" t="n">
        <x:v>0.7887323943661972</x:v>
      </x:c>
      <x:c r="T9" s="40" t="n">
        <x:v>0.8235294117647058</x:v>
      </x:c>
      <x:c r="U9" s="40" t="n">
        <x:v>1</x:v>
      </x:c>
      <x:c r="V9" s="40"/>
      <x:c r="W9" s="64" t="str">
        <x:v>Stage 0 – Insufficient History</x:v>
      </x:c>
      <x:c r="X9" s="64" t="str">
        <x:v>Rev3M +14.0%; Accel3M n/a; Stock3M +18.0%; EV/EBITDA 3.4x (21th pct); PeakRatio36M 100%; Multiple3M +9.7%; Earnings-Price Gap -4.0%; CycleHeat n/a. Not enough 3M history to classify reliably.</x:v>
      </x:c>
    </x:row>
    <x:row r="10">
      <x:c r="A10" s="32" t="n">
        <x:v>43281</x:v>
      </x:c>
      <x:c r="B10" s="33" t="n">
        <x:v>0.2753</x:v>
      </x:c>
      <x:c r="C10" s="40" t="n">
        <x:f>IFERROR((1+B10)/(1+B9)-1,"")</x:f>
        <x:v>-0.08939664405569436</x:v>
      </x:c>
      <x:c r="D10" s="40" t="n">
        <x:f>IFERROR((1+B10)/(1+B7)-1,"")</x:f>
        <x:v>0.005757097791798227</x:v>
      </x:c>
      <x:c r="E10" s="40"/>
      <x:c r="F10" s="36" t="n">
        <x:v>3.0147812715055586</x:v>
      </x:c>
      <x:c r="G10" s="40" t="n">
        <x:f>IFERROR(F10/F7-1,"")</x:f>
        <x:v>-0.21672388446461122</x:v>
      </x:c>
      <x:c r="H10" s="38" t="n">
        <x:v>20.678370681840402</x:v>
      </x:c>
      <x:c r="I10" s="40" t="n">
        <x:f>IFERROR(H10/H9-1,"")</x:f>
        <x:v>0.03502277196462322</x:v>
      </x:c>
      <x:c r="J10" s="40" t="n">
        <x:f>IFERROR(H10/H7-1,"")</x:f>
        <x:v>0.13193022834582813</x:v>
      </x:c>
      <x:c r="K10" s="40"/>
      <x:c r="L10" s="40" t="n">
        <x:f>IFERROR(J10-J9,"")</x:f>
        <x:v>-0.007819871619156649</x:v>
      </x:c>
      <x:c r="M10" s="40" t="n">
        <x:f>IFERROR(J10-D10,"")</x:f>
        <x:v>0.1261731305540299</x:v>
      </x:c>
      <x:c r="N10" s="42" t="str">
        <x:f>IF(J10&lt;0,IF(D10&lt;0,"Down-cycle","Price up / earnings down"),IF(AND(J10&gt;0,L10&lt;0,M10&lt;-0.15),"Late-cycle warning",IF(AND(J10&gt;0,M10&gt;0),"Earnings-led expansion",IF(AND(J10&gt;0,D10&lt;0),"Potential dislocation",IF(AND(J10&gt;0,M10&lt;0),"Price ahead / rerating","Neutral")))))</x:f>
        <x:v>Earnings-led expansion</x:v>
      </x:c>
      <x:c r="O10" s="40"/>
      <x:c r="P10" s="40" t="n">
        <x:v>0.7794117647058824</x:v>
      </x:c>
      <x:c r="Q10" s="40"/>
      <x:c r="R10" s="40" t="n">
        <x:v>0.1267605633802817</x:v>
      </x:c>
      <x:c r="S10" s="40" t="n">
        <x:v>0.8732394366197183</x:v>
      </x:c>
      <x:c r="T10" s="40" t="n">
        <x:v>0.4411764705882353</x:v>
      </x:c>
      <x:c r="U10" s="40" t="n">
        <x:v>1</x:v>
      </x:c>
      <x:c r="V10" s="40"/>
      <x:c r="W10" s="64" t="str">
        <x:v>Stage 0 – Insufficient History</x:v>
      </x:c>
      <x:c r="X10" s="64" t="str">
        <x:v>Rev3M +13.2%; Accel3M n/a; Stock3M +0.6%; EV/EBITDA 3.0x (13th pct); PeakRatio36M 100%; Multiple3M -21.7%; Earnings-Price Gap +12.6%; CycleHeat n/a. Not enough 3M history to classify reliably.</x:v>
      </x:c>
    </x:row>
    <x:row r="11">
      <x:c r="A11" s="32" t="n">
        <x:v>43312</x:v>
      </x:c>
      <x:c r="B11" s="33" t="n">
        <x:v>0.2838</x:v>
      </x:c>
      <x:c r="C11" s="40" t="n">
        <x:f>IFERROR((1+B11)/(1+B10)-1,"")</x:f>
        <x:v>0.006665098408217718</x:v>
      </x:c>
      <x:c r="D11" s="40" t="n">
        <x:f>IFERROR((1+B11)/(1+B8)-1,"")</x:f>
        <x:v>0.1480951529243426</x:v>
      </x:c>
      <x:c r="E11" s="40" t="n">
        <x:f>IFERROR((1+B11)/(1+B5)-1,"")</x:f>
        <x:v>0.20748683220466524</x:v>
      </x:c>
      <x:c r="F11" s="36" t="n">
        <x:v>2.95256700481873</x:v>
      </x:c>
      <x:c r="G11" s="40" t="n">
        <x:f>IFERROR(F11/F8-1,"")</x:f>
        <x:v>-0.014784138050840223</x:v>
      </x:c>
      <x:c r="H11" s="38" t="n">
        <x:v>21.11440684368375</x:v>
      </x:c>
      <x:c r="I11" s="40" t="n">
        <x:f>IFERROR(H11/H10-1,"")</x:f>
        <x:v>0.021086582137067156</x:v>
      </x:c>
      <x:c r="J11" s="40" t="n">
        <x:f>IFERROR(H11/H8-1,"")</x:f>
        <x:v>0.10902756633949484</x:v>
      </x:c>
      <x:c r="K11" s="40" t="n">
        <x:f>IFERROR(H11/H5-1,"")</x:f>
        <x:v>0.2212429656983106</x:v>
      </x:c>
      <x:c r="L11" s="40" t="n">
        <x:f>IFERROR(J11-J10,"")</x:f>
        <x:v>-0.022902662006333285</x:v>
      </x:c>
      <x:c r="M11" s="40" t="n">
        <x:f>IFERROR(J11-D11,"")</x:f>
        <x:v>-0.03906758658484777</x:v>
      </x:c>
      <x:c r="N11" s="42" t="str">
        <x:f>IF(J11&lt;0,IF(D11&lt;0,"Down-cycle","Price up / earnings down"),IF(AND(J11&gt;0,L11&lt;0,M11&lt;-0.15),"Late-cycle warning",IF(AND(J11&gt;0,M11&gt;0),"Earnings-led expansion",IF(AND(J11&gt;0,D11&lt;0),"Potential dislocation",IF(AND(J11&gt;0,M11&lt;0),"Price ahead / rerating","Neutral")))))</x:f>
        <x:v>Price ahead / rerating</x:v>
      </x:c>
      <x:c r="O11" s="40" t="n">
        <x:v>0.00784396841577606</x:v>
      </x:c>
      <x:c r="P11" s="40" t="n">
        <x:v>0.7205882352941176</x:v>
      </x:c>
      <x:c r="Q11" s="40" t="n">
        <x:v>0.46153846153846156</x:v>
      </x:c>
      <x:c r="R11" s="40" t="n">
        <x:v>0.09859154929577464</x:v>
      </x:c>
      <x:c r="S11" s="40" t="n">
        <x:v>0.9014084507042254</x:v>
      </x:c>
      <x:c r="T11" s="40" t="n">
        <x:v>0.7794117647058824</x:v>
      </x:c>
      <x:c r="U11" s="40" t="n">
        <x:v>1</x:v>
      </x:c>
      <x:c r="V11" s="40" t="n">
        <x:v>0.7037545408195781</x:v>
      </x:c>
      <x:c r="W11" s="64" t="str">
        <x:v>Stage 8 – High-Cycle Expansion</x:v>
      </x:c>
      <x:c r="X11" s="64" t="str">
        <x:v>Rev3M +10.9%; Accel3M +0.8ppt; Stock3M +14.8%; EV/EBITDA 3.0x (10th pct); PeakRatio36M 100%; Multiple3M -1.5%; Earnings-Price Gap -3.9%; CycleHeat 70%. Forward EBITDA is near a 36M high, revisions remain positive, and EV/EBITDA is at a low historical percentile—classic high-profit-cycle conditions.</x:v>
      </x:c>
    </x:row>
    <x:row r="12">
      <x:c r="A12" s="32" t="n">
        <x:v>43343</x:v>
      </x:c>
      <x:c r="B12" s="33" t="n">
        <x:v>0.2772</x:v>
      </x:c>
      <x:c r="C12" s="40" t="n">
        <x:f>IFERROR((1+B12)/(1+B11)-1,"")</x:f>
        <x:v>-0.005140987692787036</x:v>
      </x:c>
      <x:c r="D12" s="40" t="n">
        <x:f>IFERROR((1+B12)/(1+B9)-1,"")</x:f>
        <x:v>-0.08803998571938587</x:v>
      </x:c>
      <x:c r="E12" s="40" t="n">
        <x:f>IFERROR((1+B12)/(1+B6)-1,"")</x:f>
        <x:v>0.07598989048020233</x:v>
      </x:c>
      <x:c r="F12" s="36" t="n">
        <x:v>2.6921199931679256</x:v>
      </x:c>
      <x:c r="G12" s="40" t="n">
        <x:f>IFERROR(F12/F9-1,"")</x:f>
        <x:v>-0.21204334905152877</x:v>
      </x:c>
      <x:c r="H12" s="38" t="n">
        <x:v>21.550443005527097</x:v>
      </x:c>
      <x:c r="I12" s="40" t="n">
        <x:f>IFERROR(H12/H11-1,"")</x:f>
        <x:v>0.02065112058659535</x:v>
      </x:c>
      <x:c r="J12" s="40" t="n">
        <x:f>IFERROR(H12/H9-1,"")</x:f>
        <x:v>0.07867295735415714</x:v>
      </x:c>
      <x:c r="K12" s="40" t="n">
        <x:f>IFERROR(H12/H6-1,"")</x:f>
        <x:v>0.2294176109739261</x:v>
      </x:c>
      <x:c r="L12" s="40" t="n">
        <x:f>IFERROR(J12-J11,"")</x:f>
        <x:v>-0.030354608985337705</x:v>
      </x:c>
      <x:c r="M12" s="40" t="n">
        <x:f>IFERROR(J12-D12,"")</x:f>
        <x:v>0.166712943073543</x:v>
      </x:c>
      <x:c r="N12" s="42" t="str">
        <x:f>IF(J12&lt;0,IF(D12&lt;0,"Down-cycle","Price up / earnings down"),IF(AND(J12&gt;0,L12&lt;0,M12&lt;-0.15),"Late-cycle warning",IF(AND(J12&gt;0,M12&gt;0),"Earnings-led expansion",IF(AND(J12&gt;0,D12&lt;0),"Potential dislocation",IF(AND(J12&gt;0,M12&lt;0),"Price ahead / rerating","Neutral")))))</x:f>
        <x:v>Earnings-led expansion</x:v>
      </x:c>
      <x:c r="O12" s="40" t="n">
        <x:v>-0.06107714261082764</x:v>
      </x:c>
      <x:c r="P12" s="40" t="n">
        <x:v>0.6323529411764706</x:v>
      </x:c>
      <x:c r="Q12" s="40" t="n">
        <x:v>0.35384615384615387</x:v>
      </x:c>
      <x:c r="R12" s="40" t="n">
        <x:v>0.07042253521126761</x:v>
      </x:c>
      <x:c r="S12" s="40" t="n">
        <x:v>0.9295774647887324</x:v>
      </x:c>
      <x:c r="T12" s="40" t="n">
        <x:v>0.3088235294117647</x:v>
      </x:c>
      <x:c r="U12" s="40" t="n">
        <x:v>1</x:v>
      </x:c>
      <x:c r="V12" s="40" t="n">
        <x:v>0.5574652667134026</x:v>
      </x:c>
      <x:c r="W12" s="64" t="str">
        <x:v>Stage 10 – Price-Led Roll-over</x:v>
      </x:c>
      <x:c r="X12" s="64" t="str">
        <x:v>Rev3M +7.9%; Accel3M -6.1ppt; Stock3M -8.8%; EV/EBITDA 2.7x (7th pct); PeakRatio36M 100%; Multiple3M -21.2%; Earnings-Price Gap +16.7%; CycleHeat 56%. The stock has turned negative before forward EBITDA revisions have turned negative; price may be leading a future earnings slowdown.</x:v>
      </x:c>
    </x:row>
    <x:row r="13">
      <x:c r="A13" s="32" t="n">
        <x:v>43373</x:v>
      </x:c>
      <x:c r="B13" s="33" t="n">
        <x:v>0.1</x:v>
      </x:c>
      <x:c r="C13" s="40" t="n">
        <x:f>IFERROR((1+B13)/(1+B12)-1,"")</x:f>
        <x:v>-0.1387409959285938</x:v>
      </x:c>
      <x:c r="D13" s="40" t="n">
        <x:f>IFERROR((1+B13)/(1+B10)-1,"")</x:f>
        <x:v>-0.13745785305418334</x:v>
      </x:c>
      <x:c r="E13" s="40" t="n">
        <x:f>IFERROR((1+B13)/(1+B7)-1,"")</x:f>
        <x:v>-0.13249211356466872</x:v>
      </x:c>
      <x:c r="F13" s="36" t="n">
        <x:v>2.4619701637330653</x:v>
      </x:c>
      <x:c r="G13" s="40" t="n">
        <x:f>IFERROR(F13/F10-1,"")</x:f>
        <x:v>-0.18336690392680588</x:v>
      </x:c>
      <x:c r="H13" s="38" t="n">
        <x:v>20.536495542693455</x:v>
      </x:c>
      <x:c r="I13" s="40" t="n">
        <x:f>IFERROR(H13/H12-1,"")</x:f>
        <x:v>-0.0470499591388257</x:v>
      </x:c>
      <x:c r="J13" s="40" t="n">
        <x:f>IFERROR(H13/H10-1,"")</x:f>
        <x:v>-0.006861040520544481</x:v>
      </x:c>
      <x:c r="K13" s="40" t="n">
        <x:f>IFERROR(H13/H7-1,"")</x:f>
        <x:v>0.12416400918271808</x:v>
      </x:c>
      <x:c r="L13" s="40" t="n">
        <x:f>IFERROR(J13-J12,"")</x:f>
        <x:v>-0.08553399787470162</x:v>
      </x:c>
      <x:c r="M13" s="40" t="n">
        <x:f>IFERROR(J13-D13,"")</x:f>
        <x:v>0.13059681253363886</x:v>
      </x:c>
      <x:c r="N13" s="42" t="str">
        <x:f>IF(J13&lt;0,IF(D13&lt;0,"Down-cycle","Price up / earnings down"),IF(AND(J13&gt;0,L13&lt;0,M13&lt;-0.15),"Late-cycle warning",IF(AND(J13&gt;0,M13&gt;0),"Earnings-led expansion",IF(AND(J13&gt;0,D13&lt;0),"Potential dislocation",IF(AND(J13&gt;0,M13&lt;0),"Price ahead / rerating","Neutral")))))</x:f>
        <x:v>Down-cycle</x:v>
      </x:c>
      <x:c r="O13" s="40" t="n">
        <x:v>-0.1387912688663726</x:v>
      </x:c>
      <x:c r="P13" s="40" t="n">
        <x:v>0.47058823529411764</x:v>
      </x:c>
      <x:c r="Q13" s="40" t="n">
        <x:v>0.24615384615384617</x:v>
      </x:c>
      <x:c r="R13" s="40" t="n">
        <x:v>0.04225352112676056</x:v>
      </x:c>
      <x:c r="S13" s="40" t="n">
        <x:v>0.9577464788732395</x:v>
      </x:c>
      <x:c r="T13" s="40" t="n">
        <x:v>0.16176470588235295</x:v>
      </x:c>
      <x:c r="U13" s="40" t="n">
        <x:v>0.9529500408611743</x:v>
      </x:c>
      <x:c r="V13" s="40" t="n">
        <x:v>0.45014658084252124</x:v>
      </x:c>
      <x:c r="W13" s="64" t="str">
        <x:v>Stage 11 – Earnings Peak / Roll-over</x:v>
      </x:c>
      <x:c r="X13" s="64" t="str">
        <x:v>Rev3M -0.7%; Accel3M -13.9ppt; Stock3M -13.7%; EV/EBITDA 2.5x (4th pct); PeakRatio36M 95%; Multiple3M -18.3%; Earnings-Price Gap +13.1%; CycleHeat 45%. Forward EBITDA revisions have stalled/turned negative, acceleration is negative, stock performance is negative, and earnings are still near peak.</x:v>
      </x:c>
    </x:row>
    <x:row r="14">
      <x:c r="A14" s="32" t="n">
        <x:v>43404</x:v>
      </x:c>
      <x:c r="B14" s="33" t="n">
        <x:v>-0.0827</x:v>
      </x:c>
      <x:c r="C14" s="40" t="n">
        <x:f>IFERROR((1+B14)/(1+B13)-1,"")</x:f>
        <x:v>-0.16609090909090918</x:v>
      </x:c>
      <x:c r="D14" s="40" t="n">
        <x:f>IFERROR((1+B14)/(1+B11)-1,"")</x:f>
        <x:v>-0.2854806044555227</x:v>
      </x:c>
      <x:c r="E14" s="40" t="n">
        <x:f>IFERROR((1+B14)/(1+B8)-1,"")</x:f>
        <x:v>-0.17966374530495444</x:v>
      </x:c>
      <x:c r="F14" s="36" t="n">
        <x:v>2.0528906125481607</x:v>
      </x:c>
      <x:c r="G14" s="40" t="n">
        <x:f>IFERROR(F14/F11-1,"")</x:f>
        <x:v>-0.30470989847216157</x:v>
      </x:c>
      <x:c r="H14" s="38" t="n">
        <x:v>19.841588126329054</x:v>
      </x:c>
      <x:c r="I14" s="40" t="n">
        <x:f>IFERROR(H14/H13-1,"")</x:f>
        <x:v>-0.03383768252571395</x:v>
      </x:c>
      <x:c r="J14" s="40" t="n">
        <x:f>IFERROR(H14/H11-1,"")</x:f>
        <x:v>-0.06028200208406287</x:v>
      </x:c>
      <x:c r="K14" s="40" t="n">
        <x:f>IFERROR(H14/H8-1,"")</x:f>
        <x:v>0.04217316427413409</x:v>
      </x:c>
      <x:c r="L14" s="40" t="n">
        <x:f>IFERROR(J14-J13,"")</x:f>
        <x:v>-0.05342096156351839</x:v>
      </x:c>
      <x:c r="M14" s="40" t="n">
        <x:f>IFERROR(J14-D14,"")</x:f>
        <x:v>0.22519860237145983</x:v>
      </x:c>
      <x:c r="N14" s="42" t="str">
        <x:f>IF(J14&lt;0,IF(D14&lt;0,"Down-cycle","Price up / earnings down"),IF(AND(J14&gt;0,L14&lt;0,M14&lt;-0.15),"Late-cycle warning",IF(AND(J14&gt;0,M14&gt;0),"Earnings-led expansion",IF(AND(J14&gt;0,D14&lt;0),"Potential dislocation",IF(AND(J14&gt;0,M14&lt;0),"Price ahead / rerating","Neutral")))))</x:f>
        <x:v>Down-cycle</x:v>
      </x:c>
      <x:c r="O14" s="40" t="n">
        <x:v>-0.1693095684235577</x:v>
      </x:c>
      <x:c r="P14" s="40" t="n">
        <x:v>0.36764705882352944</x:v>
      </x:c>
      <x:c r="Q14" s="40" t="n">
        <x:v>0.18461538461538463</x:v>
      </x:c>
      <x:c r="R14" s="40" t="n">
        <x:v>0</x:v>
      </x:c>
      <x:c r="S14" s="40" t="n">
        <x:v>1</x:v>
      </x:c>
      <x:c r="T14" s="40" t="n">
        <x:v>0.029411764705882353</x:v>
      </x:c>
      <x:c r="U14" s="40" t="n">
        <x:v>0.9207044199156478</x:v>
      </x:c>
      <x:c r="V14" s="40" t="n">
        <x:v>0.3807126696832579</x:v>
      </x:c>
      <x:c r="W14" s="64" t="str">
        <x:v>Stage 11 – Earnings Peak / Roll-over</x:v>
      </x:c>
      <x:c r="X14" s="64" t="str">
        <x:v>Rev3M -6.0%; Accel3M -16.9ppt; Stock3M -28.5%; EV/EBITDA 2.1x (0th pct); PeakRatio36M 92%; Multiple3M -30.5%; Earnings-Price Gap +22.5%; CycleHeat 38%. Forward EBITDA revisions have stalled/turned negative, acceleration is negative, stock performance is negative, and earnings are still near peak.</x:v>
      </x:c>
    </x:row>
    <x:row r="15">
      <x:c r="A15" s="32" t="n">
        <x:v>43434</x:v>
      </x:c>
      <x:c r="B15" s="33" t="n">
        <x:v>-0.0623</x:v>
      </x:c>
      <x:c r="C15" s="40" t="n">
        <x:f>IFERROR((1+B15)/(1+B14)-1,"")</x:f>
        <x:v>0.02223918020276905</x:v>
      </x:c>
      <x:c r="D15" s="40" t="n">
        <x:f>IFERROR((1+B15)/(1+B12)-1,"")</x:f>
        <x:v>-0.26581584716567497</x:v>
      </x:c>
      <x:c r="E15" s="40" t="n">
        <x:f>IFERROR((1+B15)/(1+B9)-1,"")</x:f>
        <x:v>-0.3304534094966084</x:v>
      </x:c>
      <x:c r="F15" s="36" t="n">
        <x:v>2.1212738537680194</x:v>
      </x:c>
      <x:c r="G15" s="40" t="n">
        <x:f>IFERROR(F15/F12-1,"")</x:f>
        <x:v>-0.212043349051529</x:v>
      </x:c>
      <x:c r="H15" s="38" t="n">
        <x:v>19.841588126329054</x:v>
      </x:c>
      <x:c r="I15" s="40" t="n">
        <x:f>IFERROR(H15/H14-1,"")</x:f>
        <x:v>0</x:v>
      </x:c>
      <x:c r="J15" s="40" t="n">
        <x:f>IFERROR(H15/H12-1,"")</x:f>
        <x:v>-0.07929558008435222</x:v>
      </x:c>
      <x:c r="K15" s="40" t="n">
        <x:f>IFERROR(H15/H9-1,"")</x:f>
        <x:v>-0.006861040520544592</x:v>
      </x:c>
      <x:c r="L15" s="40" t="n">
        <x:f>IFERROR(J15-J14,"")</x:f>
        <x:v>-0.019013578000289355</x:v>
      </x:c>
      <x:c r="M15" s="40" t="n">
        <x:f>IFERROR(J15-D15,"")</x:f>
        <x:v>0.18652026708132274</x:v>
      </x:c>
      <x:c r="N15" s="42" t="str">
        <x:f>IF(J15&lt;0,IF(D15&lt;0,"Down-cycle","Price up / earnings down"),IF(AND(J15&gt;0,L15&lt;0,M15&lt;-0.15),"Late-cycle warning",IF(AND(J15&gt;0,M15&gt;0),"Earnings-led expansion",IF(AND(J15&gt;0,D15&lt;0),"Potential dislocation",IF(AND(J15&gt;0,M15&lt;0),"Price ahead / rerating","Neutral")))))</x:f>
        <x:v>Down-cycle</x:v>
      </x:c>
      <x:c r="O15" s="40" t="n">
        <x:v>-0.15796853743850936</x:v>
      </x:c>
      <x:c r="P15" s="40" t="n">
        <x:v>0.3382352941176471</x:v>
      </x:c>
      <x:c r="Q15" s="40" t="n">
        <x:v>0.2</x:v>
      </x:c>
      <x:c r="R15" s="40" t="n">
        <x:v>0.014084507042253521</x:v>
      </x:c>
      <x:c r="S15" s="40" t="n">
        <x:v>0.9859154929577465</x:v>
      </x:c>
      <x:c r="T15" s="40" t="n">
        <x:v>0.04411764705882353</x:v>
      </x:c>
      <x:c r="U15" s="40" t="n">
        <x:v>0.9207044199156478</x:v>
      </x:c>
      <x:c r="V15" s="40" t="n">
        <x:v>0.3743889809444905</x:v>
      </x:c>
      <x:c r="W15" s="64" t="str">
        <x:v>Stage 11 – Earnings Peak / Roll-over</x:v>
      </x:c>
      <x:c r="X15" s="64" t="str">
        <x:v>Rev3M -7.9%; Accel3M -15.8ppt; Stock3M -26.6%; EV/EBITDA 2.1x (1th pct); PeakRatio36M 92%; Multiple3M -21.2%; Earnings-Price Gap +18.7%; CycleHeat 37%. Forward EBITDA revisions have stalled/turned negative, acceleration is negative, stock performance is negative, and earnings are still near peak.</x:v>
      </x:c>
    </x:row>
    <x:row r="16">
      <x:c r="A16" s="32" t="n">
        <x:v>43465</x:v>
      </x:c>
      <x:c r="B16" s="33" t="n">
        <x:v>-0.2284</x:v>
      </x:c>
      <x:c r="C16" s="40" t="n">
        <x:f>IFERROR((1+B16)/(1+B15)-1,"")</x:f>
        <x:v>-0.17713554441719093</x:v>
      </x:c>
      <x:c r="D16" s="40" t="n">
        <x:f>IFERROR((1+B16)/(1+B13)-1,"")</x:f>
        <x:v>-0.29854545454545456</x:v>
      </x:c>
      <x:c r="E16" s="40" t="n">
        <x:f>IFERROR((1+B16)/(1+B10)-1,"")</x:f>
        <x:v>-0.3949658903787344</x:v>
      </x:c>
      <x:c r="F16" s="36" t="n">
        <x:v>2.2514958852109856</x:v>
      </x:c>
      <x:c r="G16" s="40" t="n">
        <x:f>IFERROR(F16/F13-1,"")</x:f>
        <x:v>-0.08549018246546869</x:v>
      </x:c>
      <x:c r="H16" s="38" t="n">
        <x:v>15.169356967485879</x:v>
      </x:c>
      <x:c r="I16" s="40" t="n">
        <x:f>IFERROR(H16/H15-1,"")</x:f>
        <x:v>-0.23547667299087305</x:v>
      </x:c>
      <x:c r="J16" s="40" t="n">
        <x:f>IFERROR(H16/H13-1,"")</x:f>
        <x:v>-0.26134637061371047</x:v>
      </x:c>
      <x:c r="K16" s="40" t="n">
        <x:f>IFERROR(H16/H10-1,"")</x:f>
        <x:v>-0.2664143030955771</x:v>
      </x:c>
      <x:c r="L16" s="40" t="n">
        <x:f>IFERROR(J16-J15,"")</x:f>
        <x:v>-0.18205079052935824</x:v>
      </x:c>
      <x:c r="M16" s="40" t="n">
        <x:f>IFERROR(J16-D16,"")</x:f>
        <x:v>0.03719908393174409</x:v>
      </x:c>
      <x:c r="N16" s="42" t="str">
        <x:f>IF(J16&lt;0,IF(D16&lt;0,"Down-cycle","Price up / earnings down"),IF(AND(J16&gt;0,L16&lt;0,M16&lt;-0.15),"Late-cycle warning",IF(AND(J16&gt;0,M16&gt;0),"Earnings-led expansion",IF(AND(J16&gt;0,D16&lt;0),"Potential dislocation",IF(AND(J16&gt;0,M16&lt;0),"Price ahead / rerating","Neutral")))))</x:f>
        <x:v>Down-cycle</x:v>
      </x:c>
      <x:c r="O16" s="40" t="n">
        <x:v>-0.254485330093166</x:v>
      </x:c>
      <x:c r="P16" s="40" t="n">
        <x:v>0.19117647058823528</x:v>
      </x:c>
      <x:c r="Q16" s="40" t="n">
        <x:v>0.12307692307692308</x:v>
      </x:c>
      <x:c r="R16" s="40" t="n">
        <x:v>0.028169014084507043</x:v>
      </x:c>
      <x:c r="S16" s="40" t="n">
        <x:v>0.971830985915493</x:v>
      </x:c>
      <x:c r="T16" s="40" t="n">
        <x:v>0</x:v>
      </x:c>
      <x:c r="U16" s="40" t="n">
        <x:v>0.7039000063059193</x:v>
      </x:c>
      <x:c r="V16" s="40" t="n">
        <x:v>0.2920471926582117</x:v>
      </x:c>
      <x:c r="W16" s="64" t="str">
        <x:v>Stage 12 – Downturn Confirmation</x:v>
      </x:c>
      <x:c r="X16" s="64" t="str">
        <x:v>Rev3M -26.1%; Accel3M -25.4ppt; Stock3M -29.9%; EV/EBITDA 2.3x (3th pct); PeakRatio36M 70%; Multiple3M -8.5%; Earnings-Price Gap +3.7%; CycleHeat 29%. Forward EBITDA, revision momentum, and stock performance are all negative while earnings are still relatively elevated—downcycle is being confirmed.</x:v>
      </x:c>
    </x:row>
    <x:row r="17">
      <x:c r="A17" s="32" t="n">
        <x:v>43496</x:v>
      </x:c>
      <x:c r="B17" s="33" t="n">
        <x:v>-0.0705</x:v>
      </x:c>
      <x:c r="C17" s="40" t="n">
        <x:f>IFERROR((1+B17)/(1+B16)-1,"")</x:f>
        <x:v>0.2046397096941419</x:v>
      </x:c>
      <x:c r="D17" s="40" t="n">
        <x:f>IFERROR((1+B17)/(1+B14)-1,"")</x:f>
        <x:v>0.013299901885969634</x:v>
      </x:c>
      <x:c r="E17" s="40" t="n">
        <x:f>IFERROR((1+B17)/(1+B11)-1,"")</x:f>
        <x:v>-0.27597756659915873</x:v>
      </x:c>
      <x:c r="F17" s="36" t="n">
        <x:v>2.6761285513175115</x:v>
      </x:c>
      <x:c r="G17" s="40" t="n">
        <x:f>IFERROR(F17/F14-1,"")</x:f>
        <x:v>0.3035904275463335</x:v>
      </x:c>
      <x:c r="H17" s="38" t="n">
        <x:v>14.062980687579618</x:v>
      </x:c>
      <x:c r="I17" s="40" t="n">
        <x:f>IFERROR(H17/H16-1,"")</x:f>
        <x:v>-0.07293494920567012</x:v>
      </x:c>
      <x:c r="J17" s="40" t="n">
        <x:f>IFERROR(H17/H14-1,"")</x:f>
        <x:v>-0.29123714301283365</x:v>
      </x:c>
      <x:c r="K17" s="40" t="n">
        <x:f>IFERROR(H17/H11-1,"")</x:f>
        <x:v>-0.3339627870348404</x:v>
      </x:c>
      <x:c r="L17" s="40" t="n">
        <x:f>IFERROR(J17-J16,"")</x:f>
        <x:v>-0.02989077239912319</x:v>
      </x:c>
      <x:c r="M17" s="40" t="n">
        <x:f>IFERROR(J17-D17,"")</x:f>
        <x:v>-0.3045370448988033</x:v>
      </x:c>
      <x:c r="N17" s="42" t="str">
        <x:f>IF(J17&lt;0,IF(D17&lt;0,"Down-cycle","Price up / earnings down"),IF(AND(J17&gt;0,L17&lt;0,M17&lt;-0.15),"Late-cycle warning",IF(AND(J17&gt;0,M17&gt;0),"Earnings-led expansion",IF(AND(J17&gt;0,D17&lt;0),"Potential dislocation",IF(AND(J17&gt;0,M17&lt;0),"Price ahead / rerating","Neutral")))))</x:f>
        <x:v>Price up / earnings down</x:v>
      </x:c>
      <x:c r="O17" s="40" t="n">
        <x:v>-0.23095514092877079</x:v>
      </x:c>
      <x:c r="P17" s="40" t="n">
        <x:v>0.1323529411764706</x:v>
      </x:c>
      <x:c r="Q17" s="40" t="n">
        <x:v>0.16923076923076924</x:v>
      </x:c>
      <x:c r="R17" s="40" t="n">
        <x:v>0.056338028169014086</x:v>
      </x:c>
      <x:c r="S17" s="40" t="n">
        <x:v>0.9436619718309859</x:v>
      </x:c>
      <x:c r="T17" s="40" t="n">
        <x:v>0.45588235294117646</x:v>
      </x:c>
      <x:c r="U17" s="40" t="n">
        <x:v>0.6525610951001263</x:v>
      </x:c>
      <x:c r="V17" s="40" t="n">
        <x:v>0.3685400866738895</x:v>
      </x:c>
      <x:c r="W17" s="64" t="str">
        <x:v>Stage 13 – Mixed / Transition</x:v>
      </x:c>
      <x:c r="X17" s="64" t="str">
        <x:v>Rev3M -29.1%; Accel3M -23.1ppt; Stock3M +1.3%; EV/EBITDA 2.7x (6th pct); PeakRatio36M 65%; Multiple3M +30.4%; Earnings-Price Gap -30.5%; CycleHeat 37%. Signals do not fit one dominant state; treat as a transition and require confirmation from the next 1–3 monthly observations.</x:v>
      </x:c>
    </x:row>
    <x:row r="18">
      <x:c r="A18" s="32" t="n">
        <x:v>43524</x:v>
      </x:c>
      <x:c r="B18" s="33" t="n">
        <x:v>-0.0058</x:v>
      </x:c>
      <x:c r="C18" s="40" t="n">
        <x:f>IFERROR((1+B18)/(1+B17)-1,"")</x:f>
        <x:v>0.06960731576116186</x:v>
      </x:c>
      <x:c r="D18" s="40" t="n">
        <x:f>IFERROR((1+B18)/(1+B15)-1,"")</x:f>
        <x:v>0.06025381251999562</x:v>
      </x:c>
      <x:c r="E18" s="40" t="n">
        <x:f>IFERROR((1+B18)/(1+B12)-1,"")</x:f>
        <x:v>-0.2215784528656437</x:v>
      </x:c>
      <x:c r="F18" s="36" t="n">
        <x:v>3.29660897422976</x:v>
      </x:c>
      <x:c r="G18" s="40" t="n">
        <x:f>IFERROR(F18/F15-1,"")</x:f>
        <x:v>0.5540704319595475</x:v>
      </x:c>
      <x:c r="H18" s="38" t="n">
        <x:v>13.680987823526369</x:v>
      </x:c>
      <x:c r="I18" s="40" t="n">
        <x:f>IFERROR(H18/H17-1,"")</x:f>
        <x:v>-0.02716300850719533</x:v>
      </x:c>
      <x:c r="J18" s="40" t="n">
        <x:f>IFERROR(H18/H15-1,"")</x:f>
        <x:v>-0.3104892745267601</x:v>
      </x:c>
      <x:c r="K18" s="40" t="n">
        <x:f>IFERROR(H18/H12-1,"")</x:f>
        <x:v>-0.3651644274775432</x:v>
      </x:c>
      <x:c r="L18" s="40" t="n">
        <x:f>IFERROR(J18-J17,"")</x:f>
        <x:v>-0.019252131513926463</x:v>
      </x:c>
      <x:c r="M18" s="40" t="n">
        <x:f>IFERROR(J18-D18,"")</x:f>
        <x:v>-0.37074308704675574</x:v>
      </x:c>
      <x:c r="N18" s="42" t="str">
        <x:f>IF(J18&lt;0,IF(D18&lt;0,"Down-cycle","Price up / earnings down"),IF(AND(J18&gt;0,L18&lt;0,M18&lt;-0.15),"Late-cycle warning",IF(AND(J18&gt;0,M18&gt;0),"Earnings-led expansion",IF(AND(J18&gt;0,D18&lt;0),"Potential dislocation",IF(AND(J18&gt;0,M18&lt;0),"Price ahead / rerating","Neutral")))))</x:f>
        <x:v>Price up / earnings down</x:v>
      </x:c>
      <x:c r="O18" s="40" t="n">
        <x:v>-0.2311936944424079</x:v>
      </x:c>
      <x:c r="P18" s="40" t="n">
        <x:v>0.10294117647058823</x:v>
      </x:c>
      <x:c r="Q18" s="40" t="n">
        <x:v>0.15384615384615385</x:v>
      </x:c>
      <x:c r="R18" s="40" t="n">
        <x:v>0.19014084507042253</x:v>
      </x:c>
      <x:c r="S18" s="40" t="n">
        <x:v>0.8098591549295775</x:v>
      </x:c>
      <x:c r="T18" s="40" t="n">
        <x:v>0.5882352941176471</x:v>
      </x:c>
      <x:c r="U18" s="40" t="n">
        <x:v>0.6348355725224568</x:v>
      </x:c>
      <x:c r="V18" s="40" t="n">
        <x:v>0.3541098400356893</x:v>
      </x:c>
      <x:c r="W18" s="64" t="str">
        <x:v>Stage 13 – Mixed / Transition</x:v>
      </x:c>
      <x:c r="X18" s="64" t="str">
        <x:v>Rev3M -31.0%; Accel3M -23.1ppt; Stock3M +6.0%; EV/EBITDA 3.3x (19th pct); PeakRatio36M 63%; Multiple3M +55.4%; Earnings-Price Gap -37.1%; CycleHeat 35%. Signals do not fit one dominant state; treat as a transition and require confirmation from the next 1–3 monthly observations.</x:v>
      </x:c>
    </x:row>
    <x:row r="19">
      <x:c r="A19" s="32" t="n">
        <x:v>43555</x:v>
      </x:c>
      <x:c r="B19" s="33" t="n">
        <x:v>0.0051</x:v>
      </x:c>
      <x:c r="C19" s="40" t="n">
        <x:f>IFERROR((1+B19)/(1+B18)-1,"")</x:f>
        <x:v>0.010963588815127823</x:v>
      </x:c>
      <x:c r="D19" s="40" t="n">
        <x:f>IFERROR((1+B19)/(1+B16)-1,"")</x:f>
        <x:v>0.3026179367547952</x:v>
      </x:c>
      <x:c r="E19" s="40" t="n">
        <x:f>IFERROR((1+B19)/(1+B13)-1,"")</x:f>
        <x:v>-0.08627272727272728</x:v>
      </x:c>
      <x:c r="F19" s="36" t="n">
        <x:v>4.233894134800046</x:v>
      </x:c>
      <x:c r="G19" s="40" t="n">
        <x:f>IFERROR(F19/F16-1,"")</x:f>
        <x:v>0.8804805119167658</x:v>
      </x:c>
      <x:c r="H19" s="38" t="n">
        <x:v>12.253996738119657</x:v>
      </x:c>
      <x:c r="I19" s="40" t="n">
        <x:f>IFERROR(H19/H18-1,"")</x:f>
        <x:v>-0.1043046820751351</x:v>
      </x:c>
      <x:c r="J19" s="40" t="n">
        <x:f>IFERROR(H19/H16-1,"")</x:f>
        <x:v>-0.1921874628974075</x:v>
      </x:c>
      <x:c r="K19" s="40" t="n">
        <x:f>IFERROR(H19/H13-1,"")</x:f>
        <x:v>-0.40330633760542334</x:v>
      </x:c>
      <x:c r="L19" s="40" t="n">
        <x:f>IFERROR(J19-J18,"")</x:f>
        <x:v>0.1183018116293526</x:v>
      </x:c>
      <x:c r="M19" s="40" t="n">
        <x:f>IFERROR(J19-D19,"")</x:f>
        <x:v>-0.4948053996522027</x:v>
      </x:c>
      <x:c r="N19" s="42" t="str">
        <x:f>IF(J19&lt;0,IF(D19&lt;0,"Down-cycle","Price up / earnings down"),IF(AND(J19&gt;0,L19&lt;0,M19&lt;-0.15),"Late-cycle warning",IF(AND(J19&gt;0,M19&gt;0),"Earnings-led expansion",IF(AND(J19&gt;0,D19&lt;0),"Potential dislocation",IF(AND(J19&gt;0,M19&lt;0),"Price ahead / rerating","Neutral")))))</x:f>
        <x:v>Price up / earnings down</x:v>
      </x:c>
      <x:c r="O19" s="40" t="n">
        <x:v>0.06915890771630295</x:v>
      </x:c>
      <x:c r="P19" s="40" t="n">
        <x:v>0.2647058823529412</x:v>
      </x:c>
      <x:c r="Q19" s="40" t="n">
        <x:v>0.5538461538461539</x:v>
      </x:c>
      <x:c r="R19" s="40" t="n">
        <x:v>0.30985915492957744</x:v>
      </x:c>
      <x:c r="S19" s="40" t="n">
        <x:v>0.6901408450704225</x:v>
      </x:c>
      <x:c r="T19" s="40" t="n">
        <x:v>0.9117647058823529</x:v>
      </x:c>
      <x:c r="U19" s="40" t="n">
        <x:v>0.5686192499605156</x:v>
      </x:c>
      <x:c r="V19" s="40" t="n">
        <x:v>0.551489707475623</x:v>
      </x:c>
      <x:c r="W19" s="64" t="str">
        <x:v>Stage 4 – Price-Led Bottom</x:v>
      </x:c>
      <x:c r="X19" s="64" t="str">
        <x:v>Rev3M -19.2%; Accel3M +6.9ppt; Stock3M +30.3%; EV/EBITDA 4.2x (31th pct); PeakRatio36M 57%; Multiple3M +88.0%; Earnings-Price Gap -49.5%; CycleHeat 55%. EBITDA is still being revised down but improving, while the stock has already turned up—typical price leadership near a bottom.</x:v>
      </x:c>
    </x:row>
    <x:row r="20">
      <x:c r="A20" s="32" t="n">
        <x:v>43585</x:v>
      </x:c>
      <x:c r="B20" s="33" t="n">
        <x:v>0.0229</x:v>
      </x:c>
      <x:c r="C20" s="40" t="n">
        <x:f>IFERROR((1+B20)/(1+B19)-1,"")</x:f>
        <x:v>0.01770968062879308</x:v>
      </x:c>
      <x:c r="D20" s="40" t="n">
        <x:f>IFERROR((1+B20)/(1+B17)-1,"")</x:f>
        <x:v>0.10048413125336197</x:v>
      </x:c>
      <x:c r="E20" s="40" t="n">
        <x:f>IFERROR((1+B20)/(1+B14)-1,"")</x:f>
        <x:v>0.11512046222609817</x:v>
      </x:c>
      <x:c r="F20" s="36" t="n">
        <x:v>4.4938069669733975</x:v>
      </x:c>
      <x:c r="G20" s="40" t="n">
        <x:f>IFERROR(F20/F17-1,"")</x:f>
        <x:v>0.6792193950328009</x:v>
      </x:c>
      <x:c r="H20" s="38" t="n">
        <x:v>11.04250597894461</x:v>
      </x:c>
      <x:c r="I20" s="40" t="n">
        <x:f>IFERROR(H20/H19-1,"")</x:f>
        <x:v>-0.09886494872373763</x:v>
      </x:c>
      <x:c r="J20" s="40" t="n">
        <x:f>IFERROR(H20/H17-1,"")</x:f>
        <x:v>-0.21478197088777085</x:v>
      </x:c>
      <x:c r="K20" s="40" t="n">
        <x:f>IFERROR(H20/H14-1,"")</x:f>
        <x:v>-0.44346662632858447</x:v>
      </x:c>
      <x:c r="L20" s="40" t="n">
        <x:f>IFERROR(J20-J19,"")</x:f>
        <x:v>-0.022594507990363333</x:v>
      </x:c>
      <x:c r="M20" s="40" t="n">
        <x:f>IFERROR(J20-D20,"")</x:f>
        <x:v>-0.3152661021411328</x:v>
      </x:c>
      <x:c r="N20" s="42" t="str">
        <x:f>IF(J20&lt;0,IF(D20&lt;0,"Down-cycle","Price up / earnings down"),IF(AND(J20&gt;0,L20&lt;0,M20&lt;-0.15),"Late-cycle warning",IF(AND(J20&gt;0,M20&gt;0),"Earnings-led expansion",IF(AND(J20&gt;0,D20&lt;0),"Potential dislocation",IF(AND(J20&gt;0,M20&lt;0),"Price ahead / rerating","Neutral")))))</x:f>
        <x:v>Price up / earnings down</x:v>
      </x:c>
      <x:c r="O20" s="40" t="n">
        <x:v>0.07645517212506281</x:v>
      </x:c>
      <x:c r="P20" s="40" t="n">
        <x:v>0.25</x:v>
      </x:c>
      <x:c r="Q20" s="40" t="n">
        <x:v>0.5846153846153846</x:v>
      </x:c>
      <x:c r="R20" s="40" t="n">
        <x:v>0.352112676056338</x:v>
      </x:c>
      <x:c r="S20" s="40" t="n">
        <x:v>0.647887323943662</x:v>
      </x:c>
      <x:c r="T20" s="40" t="n">
        <x:v>0.6764705882352942</x:v>
      </x:c>
      <x:c r="U20" s="40" t="n">
        <x:v>0.5124027369698391</x:v>
      </x:c>
      <x:c r="V20" s="40" t="n">
        <x:v>0.4985254285896374</x:v>
      </x:c>
      <x:c r="W20" s="64" t="str">
        <x:v>Stage 4 – Price-Led Bottom</x:v>
      </x:c>
      <x:c r="X20" s="64" t="str">
        <x:v>Rev3M -21.5%; Accel3M +7.6ppt; Stock3M +10.0%; EV/EBITDA 4.5x (35th pct); PeakRatio36M 51%; Multiple3M +67.9%; Earnings-Price Gap -31.5%; CycleHeat 50%. EBITDA is still being revised down but improving, while the stock has already turned up—typical price leadership near a bottom.</x:v>
      </x:c>
    </x:row>
    <x:row r="21">
      <x:c r="A21" s="32" t="n">
        <x:v>43616</x:v>
      </x:c>
      <x:c r="B21" s="33" t="n">
        <x:v>-0.207</x:v>
      </x:c>
      <x:c r="C21" s="40" t="n">
        <x:f>IFERROR((1+B21)/(1+B20)-1,"")</x:f>
        <x:v>-0.22475315280086017</x:v>
      </x:c>
      <x:c r="D21" s="40" t="n">
        <x:f>IFERROR((1+B21)/(1+B18)-1,"")</x:f>
        <x:v>-0.20237376785355055</x:v>
      </x:c>
      <x:c r="E21" s="40" t="n">
        <x:f>IFERROR((1+B21)/(1+B15)-1,"")</x:f>
        <x:v>-0.15431374640076778</x:v>
      </x:c>
      <x:c r="F21" s="36" t="n">
        <x:v>3.647992595554007</x:v>
      </x:c>
      <x:c r="G21" s="40" t="n">
        <x:f>IFERROR(F21/F18-1,"")</x:f>
        <x:v>0.10658941478078887</x:v>
      </x:c>
      <x:c r="H21" s="38" t="n">
        <x:v>9.831015219769561</x:v>
      </x:c>
      <x:c r="I21" s="40" t="n">
        <x:f>IFERROR(H21/H20-1,"")</x:f>
        <x:v>-0.10971157828531564</x:v>
      </x:c>
      <x:c r="J21" s="40" t="n">
        <x:f>IFERROR(H21/H18-1,"")</x:f>
        <x:v>-0.2814104254326023</x:v>
      </x:c>
      <x:c r="K21" s="40" t="n">
        <x:f>IFERROR(H21/H15-1,"")</x:f>
        <x:v>-0.5045247811225269</x:v>
      </x:c>
      <x:c r="L21" s="40" t="n">
        <x:f>IFERROR(J21-J20,"")</x:f>
        <x:v>-0.06662845454483146</x:v>
      </x:c>
      <x:c r="M21" s="40" t="n">
        <x:f>IFERROR(J21-D21,"")</x:f>
        <x:v>-0.07903665757905176</x:v>
      </x:c>
      <x:c r="N21" s="42" t="str">
        <x:f>IF(J21&lt;0,IF(D21&lt;0,"Down-cycle","Price up / earnings down"),IF(AND(J21&gt;0,L21&lt;0,M21&lt;-0.15),"Late-cycle warning",IF(AND(J21&gt;0,M21&gt;0),"Earnings-led expansion",IF(AND(J21&gt;0,D21&lt;0),"Potential dislocation",IF(AND(J21&gt;0,M21&lt;0),"Price ahead / rerating","Neutral")))))</x:f>
        <x:v>Down-cycle</x:v>
      </x:c>
      <x:c r="O21" s="40" t="n">
        <x:v>0.02907884909415781</x:v>
      </x:c>
      <x:c r="P21" s="40" t="n">
        <x:v>0.16176470588235295</x:v>
      </x:c>
      <x:c r="Q21" s="40" t="n">
        <x:v>0.49230769230769234</x:v>
      </x:c>
      <x:c r="R21" s="40" t="n">
        <x:v>0.22535211267605634</x:v>
      </x:c>
      <x:c r="S21" s="40" t="n">
        <x:v>0.7746478873239436</x:v>
      </x:c>
      <x:c r="T21" s="40" t="n">
        <x:v>0.08823529411764706</x:v>
      </x:c>
      <x:c r="U21" s="40" t="n">
        <x:v>0.4561862239791626</x:v>
      </x:c>
      <x:c r="V21" s="40" t="n">
        <x:v>0.3522712064240648</x:v>
      </x:c>
      <x:c r="W21" s="64" t="str">
        <x:v>Stage 3 – Trough Formation</x:v>
      </x:c>
      <x:c r="X21" s="64" t="str">
        <x:v>Rev3M -28.1%; Accel3M +2.9ppt; Stock3M -20.2%; EV/EBITDA 3.6x (23th pct); PeakRatio36M 46%; Multiple3M +10.7%; Earnings-Price Gap -7.9%; CycleHeat 35%. EBITDA is still being revised down, but the pace of cuts is improving; the stock has not yet clearly turned positive.</x:v>
      </x:c>
    </x:row>
    <x:row r="22">
      <x:c r="A22" s="32" t="n">
        <x:v>43646</x:v>
      </x:c>
      <x:c r="B22" s="33" t="n">
        <x:v>-0.0615</x:v>
      </x:c>
      <x:c r="C22" s="40" t="n">
        <x:f>IFERROR((1+B22)/(1+B21)-1,"")</x:f>
        <x:v>0.1834804539722572</x:v>
      </x:c>
      <x:c r="D22" s="40" t="n">
        <x:f>IFERROR((1+B22)/(1+B19)-1,"")</x:f>
        <x:v>-0.06626206347627106</x:v>
      </x:c>
      <x:c r="E22" s="40" t="n">
        <x:f>IFERROR((1+B22)/(1+B16)-1,"")</x:f>
        <x:v>0.2163037843442197</x:v>
      </x:c>
      <x:c r="F22" s="36" t="n">
        <x:v>4.310248607339449</x:v>
      </x:c>
      <x:c r="G22" s="40" t="n">
        <x:f>IFERROR(F22/F19-1,"")</x:f>
        <x:v>0.018034100548668608</x:v>
      </x:c>
      <x:c r="H22" s="38" t="n">
        <x:v>7.9964815307807235</x:v>
      </x:c>
      <x:c r="I22" s="40" t="n">
        <x:f>IFERROR(H22/H21-1,"")</x:f>
        <x:v>-0.18660673877299105</x:v>
      </x:c>
      <x:c r="J22" s="40" t="n">
        <x:f>IFERROR(H22/H19-1,"")</x:f>
        <x:v>-0.34743890489987495</x:v>
      </x:c>
      <x:c r="K22" s="40" t="n">
        <x:f>IFERROR(H22/H16-1,"")</x:f>
        <x:v>-0.47285296615272177</x:v>
      </x:c>
      <x:c r="L22" s="40" t="n">
        <x:f>IFERROR(J22-J21,"")</x:f>
        <x:v>-0.06602847946727264</x:v>
      </x:c>
      <x:c r="M22" s="40" t="n">
        <x:f>IFERROR(J22-D22,"")</x:f>
        <x:v>-0.2811768414236039</x:v>
      </x:c>
      <x:c r="N22" s="42" t="str">
        <x:f>IF(J22&lt;0,IF(D22&lt;0,"Down-cycle","Price up / earnings down"),IF(AND(J22&gt;0,L22&lt;0,M22&lt;-0.15),"Late-cycle warning",IF(AND(J22&gt;0,M22&gt;0),"Earnings-led expansion",IF(AND(J22&gt;0,D22&lt;0),"Potential dislocation",IF(AND(J22&gt;0,M22&lt;0),"Price ahead / rerating","Neutral")))))</x:f>
        <x:v>Down-cycle</x:v>
      </x:c>
      <x:c r="O22" s="40" t="n">
        <x:v>-0.15525144200246743</x:v>
      </x:c>
      <x:c r="P22" s="40" t="n">
        <x:v>0.08088235294117647</x:v>
      </x:c>
      <x:c r="Q22" s="40" t="n">
        <x:v>0.23076923076923078</x:v>
      </x:c>
      <x:c r="R22" s="40" t="n">
        <x:v>0.323943661971831</x:v>
      </x:c>
      <x:c r="S22" s="40" t="n">
        <x:v>0.676056338028169</x:v>
      </x:c>
      <x:c r="T22" s="40" t="n">
        <x:v>0.3382352941176471</x:v>
      </x:c>
      <x:c r="U22" s="40" t="n">
        <x:v>0.3710588004492458</x:v>
      </x:c>
      <x:c r="V22" s="40" t="n">
        <x:v>0.2888594576508827</x:v>
      </x:c>
      <x:c r="W22" s="64" t="str">
        <x:v>Stage 1 – Downturn Acceleration</x:v>
      </x:c>
      <x:c r="X22" s="64" t="str">
        <x:v>Rev3M -34.7%; Accel3M -15.5ppt; Stock3M -6.6%; EV/EBITDA 4.3x (32th pct); PeakRatio36M 37%; Multiple3M +1.8%; Earnings-Price Gap -28.1%; CycleHeat 29%. Forward EBITDA is being cut, revision momentum is still worsening, the stock is falling, and earnings are already well below the prior peak.</x:v>
      </x:c>
    </x:row>
    <x:row r="23">
      <x:c r="A23" s="32" t="n">
        <x:v>43677</x:v>
      </x:c>
      <x:c r="B23" s="33" t="n">
        <x:v>0.0917</x:v>
      </x:c>
      <x:c r="C23" s="40" t="n">
        <x:f>IFERROR((1+B23)/(1+B22)-1,"")</x:f>
        <x:v>0.16323921150772502</x:v>
      </x:c>
      <x:c r="D23" s="40" t="n">
        <x:f>IFERROR((1+B23)/(1+B20)-1,"")</x:f>
        <x:v>0.06725975168638176</x:v>
      </x:c>
      <x:c r="E23" s="40" t="n">
        <x:f>IFERROR((1+B23)/(1+B17)-1,"")</x:f>
        <x:v>0.17450242065626664</x:v>
      </x:c>
      <x:c r="F23" s="36" t="n">
        <x:v>5.720128807843115</x:v>
      </x:c>
      <x:c r="G23" s="40" t="n">
        <x:f>IFERROR(F23/F20-1,"")</x:f>
        <x:v>0.2728915260229017</x:v>
      </x:c>
      <x:c r="H23" s="38" t="n">
        <x:v>8.333718459993419</x:v>
      </x:c>
      <x:c r="I23" s="40" t="n">
        <x:f>IFERROR(H23/H22-1,"")</x:f>
        <x:v>0.04217316427413409</x:v>
      </x:c>
      <x:c r="J23" s="40" t="n">
        <x:f>IFERROR(H23/H20-1,"")</x:f>
        <x:v>-0.2453055062063081</x:v>
      </x:c>
      <x:c r="K23" s="40" t="n">
        <x:f>IFERROR(H23/H17-1,"")</x:f>
        <x:v>-0.40740027700146575</x:v>
      </x:c>
      <x:c r="L23" s="40" t="n">
        <x:f>IFERROR(J23-J22,"")</x:f>
        <x:v>0.10213339869356686</x:v>
      </x:c>
      <x:c r="M23" s="40" t="n">
        <x:f>IFERROR(J23-D23,"")</x:f>
        <x:v>-0.31256525789268985</x:v>
      </x:c>
      <x:c r="N23" s="42" t="str">
        <x:f>IF(J23&lt;0,IF(D23&lt;0,"Down-cycle","Price up / earnings down"),IF(AND(J23&gt;0,L23&lt;0,M23&lt;-0.15),"Late-cycle warning",IF(AND(J23&gt;0,M23&gt;0),"Earnings-led expansion",IF(AND(J23&gt;0,D23&lt;0),"Potential dislocation",IF(AND(J23&gt;0,M23&lt;0),"Price ahead / rerating","Neutral")))))</x:f>
        <x:v>Price up / earnings down</x:v>
      </x:c>
      <x:c r="O23" s="40" t="n">
        <x:v>-0.030523535318537243</x:v>
      </x:c>
      <x:c r="P23" s="40" t="n">
        <x:v>0.20588235294117646</x:v>
      </x:c>
      <x:c r="Q23" s="40" t="n">
        <x:v>0.4153846153846154</x:v>
      </x:c>
      <x:c r="R23" s="40" t="n">
        <x:v>0.6619718309859155</x:v>
      </x:c>
      <x:c r="S23" s="40" t="n">
        <x:v>0.3380281690140845</x:v>
      </x:c>
      <x:c r="T23" s="40" t="n">
        <x:v>0.6029411764705882</x:v>
      </x:c>
      <x:c r="U23" s="40" t="n">
        <x:v>0.386707524195955</x:v>
      </x:c>
      <x:c r="V23" s="40" t="n">
        <x:v>0.3640988464725002</x:v>
      </x:c>
      <x:c r="W23" s="64" t="str">
        <x:v>Stage 13 – Mixed / Transition</x:v>
      </x:c>
      <x:c r="X23" s="64" t="str">
        <x:v>Rev3M -24.5%; Accel3M -3.1ppt; Stock3M +6.7%; EV/EBITDA 5.7x (66th pct); PeakRatio36M 39%; Multiple3M +27.3%; Earnings-Price Gap -31.3%; CycleHeat 36%. Signals do not fit one dominant state; treat as a transition and require confirmation from the next 1–3 monthly observations.</x:v>
      </x:c>
    </x:row>
    <x:row r="24">
      <x:c r="A24" s="32" t="n">
        <x:v>43708</x:v>
      </x:c>
      <x:c r="B24" s="33" t="n">
        <x:v>0.1009</x:v>
      </x:c>
      <x:c r="C24" s="40" t="n">
        <x:f>IFERROR((1+B24)/(1+B23)-1,"")</x:f>
        <x:v>0.008427223596226163</x:v>
      </x:c>
      <x:c r="D24" s="40" t="n">
        <x:f>IFERROR((1+B24)/(1+B21)-1,"")</x:f>
        <x:v>0.38827238335435044</x:v>
      </x:c>
      <x:c r="E24" s="40" t="n">
        <x:f>IFERROR((1+B24)/(1+B18)-1,"")</x:f>
        <x:v>0.10732247032790188</x:v>
      </x:c>
      <x:c r="F24" s="36" t="n">
        <x:v>5.437666306445258</x:v>
      </x:c>
      <x:c r="G24" s="40" t="n">
        <x:f>IFERROR(F24/F21-1,"")</x:f>
        <x:v>0.4905913770418331</x:v>
      </x:c>
      <x:c r="H24" s="38" t="n">
        <x:v>8.4492621808476</x:v>
      </x:c>
      <x:c r="I24" s="40" t="n">
        <x:f>IFERROR(H24/H23-1,"")</x:f>
        <x:v>0.013864605746985115</x:v>
      </x:c>
      <x:c r="J24" s="40" t="n">
        <x:f>IFERROR(H24/H21-1,"")</x:f>
        <x:v>-0.14055039159570648</x:v>
      </x:c>
      <x:c r="K24" s="40" t="n">
        <x:f>IFERROR(H24/H18-1,"")</x:f>
        <x:v>-0.3824084715346422</x:v>
      </x:c>
      <x:c r="L24" s="40" t="n">
        <x:f>IFERROR(J24-J23,"")</x:f>
        <x:v>0.10475511461060161</x:v>
      </x:c>
      <x:c r="M24" s="40" t="n">
        <x:f>IFERROR(J24-D24,"")</x:f>
        <x:v>-0.5288227749500569</x:v>
      </x:c>
      <x:c r="N24" s="42" t="str">
        <x:f>IF(J24&lt;0,IF(D24&lt;0,"Down-cycle","Price up / earnings down"),IF(AND(J24&gt;0,L24&lt;0,M24&lt;-0.15),"Late-cycle warning",IF(AND(J24&gt;0,M24&gt;0),"Earnings-led expansion",IF(AND(J24&gt;0,D24&lt;0),"Potential dislocation",IF(AND(J24&gt;0,M24&lt;0),"Price ahead / rerating","Neutral")))))</x:f>
        <x:v>Price up / earnings down</x:v>
      </x:c>
      <x:c r="O24" s="40" t="n">
        <x:v>0.14086003383689583</x:v>
      </x:c>
      <x:c r="P24" s="40" t="n">
        <x:v>0.29411764705882354</x:v>
      </x:c>
      <x:c r="Q24" s="40" t="n">
        <x:v>0.7538461538461538</x:v>
      </x:c>
      <x:c r="R24" s="40" t="n">
        <x:v>0.5915492957746479</x:v>
      </x:c>
      <x:c r="S24" s="40" t="n">
        <x:v>0.4084507042253521</x:v>
      </x:c>
      <x:c r="T24" s="40" t="n">
        <x:v>0.9411764705882353</x:v>
      </x:c>
      <x:c r="U24" s="40" t="n">
        <x:v>0.3920690715583246</x:v>
      </x:c>
      <x:c r="V24" s="40" t="n">
        <x:v>0.5613281498948441</x:v>
      </x:c>
      <x:c r="W24" s="64" t="str">
        <x:v>Stage 4 – Price-Led Bottom</x:v>
      </x:c>
      <x:c r="X24" s="64" t="str">
        <x:v>Rev3M -14.1%; Accel3M +14.1ppt; Stock3M +38.8%; EV/EBITDA 5.4x (59th pct); PeakRatio36M 39%; Multiple3M +49.1%; Earnings-Price Gap -52.9%; CycleHeat 56%. EBITDA is still being revised down but improving, while the stock has already turned up—typical price leadership near a bottom.</x:v>
      </x:c>
    </x:row>
    <x:row r="25">
      <x:c r="A25" s="32" t="n">
        <x:v>43738</x:v>
      </x:c>
      <x:c r="B25" s="33" t="n">
        <x:v>0.0421</x:v>
      </x:c>
      <x:c r="C25" s="40" t="n">
        <x:f>IFERROR((1+B25)/(1+B24)-1,"")</x:f>
        <x:v>-0.05341084567172305</x:v>
      </x:c>
      <x:c r="D25" s="40" t="n">
        <x:f>IFERROR((1+B25)/(1+B22)-1,"")</x:f>
        <x:v>0.11038891848694732</x:v>
      </x:c>
      <x:c r="E25" s="40" t="n">
        <x:f>IFERROR((1+B25)/(1+B19)-1,"")</x:f>
        <x:v>0.036812257486817046</x:v>
      </x:c>
      <x:c r="F25" s="36" t="n">
        <x:v>5.453888734864281</x:v>
      </x:c>
      <x:c r="G25" s="40" t="n">
        <x:f>IFERROR(F25/F22-1,"")</x:f>
        <x:v>0.2653304325828103</x:v>
      </x:c>
      <x:c r="H25" s="38" t="n">
        <x:v>8.927680396171844</x:v>
      </x:c>
      <x:c r="I25" s="40" t="n">
        <x:f>IFERROR(H25/H24-1,"")</x:f>
        <x:v>0.05662248431687944</x:v>
      </x:c>
      <x:c r="J25" s="40" t="n">
        <x:f>IFERROR(H25/H22-1,"")</x:f>
        <x:v>0.11645107436397772</x:v>
      </x:c>
      <x:c r="K25" s="40" t="n">
        <x:f>IFERROR(H25/H19-1,"")</x:f>
        <x:v>-0.2714474642873316</x:v>
      </x:c>
      <x:c r="L25" s="40" t="n">
        <x:f>IFERROR(J25-J24,"")</x:f>
        <x:v>0.2570014659596842</x:v>
      </x:c>
      <x:c r="M25" s="40" t="n">
        <x:f>IFERROR(J25-D25,"")</x:f>
        <x:v>0.006062155877030406</x:v>
      </x:c>
      <x:c r="N25" s="42" t="str">
        <x:f>IF(J25&lt;0,IF(D25&lt;0,"Down-cycle","Price up / earnings down"),IF(AND(J25&gt;0,L25&lt;0,M25&lt;-0.15),"Late-cycle warning",IF(AND(J25&gt;0,M25&gt;0),"Earnings-led expansion",IF(AND(J25&gt;0,D25&lt;0),"Potential dislocation",IF(AND(J25&gt;0,M25&lt;0),"Price ahead / rerating","Neutral")))))</x:f>
        <x:v>Earnings-led expansion</x:v>
      </x:c>
      <x:c r="O25" s="40" t="n">
        <x:v>0.46388997926385267</x:v>
      </x:c>
      <x:c r="P25" s="40" t="n">
        <x:v>0.7573529411764706</x:v>
      </x:c>
      <x:c r="Q25" s="40" t="n">
        <x:v>0.9538461538461539</x:v>
      </x:c>
      <x:c r="R25" s="40" t="n">
        <x:v>0.6056338028169014</x:v>
      </x:c>
      <x:c r="S25" s="40" t="n">
        <x:v>0.3943661971830986</x:v>
      </x:c>
      <x:c r="T25" s="40" t="n">
        <x:v>0.7205882352941176</x:v>
      </x:c>
      <x:c r="U25" s="40" t="n">
        <x:v>0.4142689964137693</x:v>
      </x:c>
      <x:c r="V25" s="40" t="n">
        <x:v>0.7265259543687465</x:v>
      </x:c>
      <x:c r="W25" s="64" t="str">
        <x:v>Stage 5 – Early Recovery</x:v>
      </x:c>
      <x:c r="X25" s="64" t="str">
        <x:v>Rev3M +11.6%; Accel3M +46.4ppt; Stock3M +11.0%; EV/EBITDA 5.5x (61th pct); PeakRatio36M 41%; Multiple3M +26.5%; Earnings-Price Gap +0.6%; CycleHeat 73%. Forward EBITDA revisions have turned positive and are accelerating, but EBITDA remains well below its recent peak.</x:v>
      </x:c>
    </x:row>
    <x:row r="26">
      <x:c r="A26" s="32" t="n">
        <x:v>43769</x:v>
      </x:c>
      <x:c r="B26" s="33" t="n">
        <x:v>0.1564</x:v>
      </x:c>
      <x:c r="C26" s="40" t="n">
        <x:f>IFERROR((1+B26)/(1+B25)-1,"")</x:f>
        <x:v>0.10968237213319276</x:v>
      </x:c>
      <x:c r="D26" s="40" t="n">
        <x:f>IFERROR((1+B26)/(1+B23)-1,"")</x:f>
        <x:v>0.059265365943024895</x:v>
      </x:c>
      <x:c r="E26" s="40" t="n">
        <x:f>IFERROR((1+B26)/(1+B20)-1,"")</x:f>
        <x:v>0.1305112914263371</x:v>
      </x:c>
      <x:c r="F26" s="36" t="n">
        <x:v>5.405366065459656</x:v>
      </x:c>
      <x:c r="G26" s="40" t="n">
        <x:f>IFERROR(F26/F23-1,"")</x:f>
        <x:v>-0.05502721231589647</x:v>
      </x:c>
      <x:c r="H26" s="38" t="n">
        <x:v>9.051459165099853</x:v>
      </x:c>
      <x:c r="I26" s="40" t="n">
        <x:f>IFERROR(H26/H25-1,"")</x:f>
        <x:v>0.013864605746984893</x:v>
      </x:c>
      <x:c r="J26" s="40" t="n">
        <x:f>IFERROR(H26/H23-1,"")</x:f>
        <x:v>0.08612490433316133</x:v>
      </x:c>
      <x:c r="K26" s="40" t="n">
        <x:f>IFERROR(H26/H20-1,"")</x:f>
        <x:v>-0.1803075151275626</x:v>
      </x:c>
      <x:c r="L26" s="40" t="n">
        <x:f>IFERROR(J26-J25,"")</x:f>
        <x:v>-0.03032617003081639</x:v>
      </x:c>
      <x:c r="M26" s="40" t="n">
        <x:f>IFERROR(J26-D26,"")</x:f>
        <x:v>0.02685953839013644</x:v>
      </x:c>
      <x:c r="N26" s="42" t="str">
        <x:f>IF(J26&lt;0,IF(D26&lt;0,"Down-cycle","Price up / earnings down"),IF(AND(J26&gt;0,L26&lt;0,M26&lt;-0.15),"Late-cycle warning",IF(AND(J26&gt;0,M26&gt;0),"Earnings-led expansion",IF(AND(J26&gt;0,D26&lt;0),"Potential dislocation",IF(AND(J26&gt;0,M26&lt;0),"Price ahead / rerating","Neutral")))))</x:f>
        <x:v>Earnings-led expansion</x:v>
      </x:c>
      <x:c r="O26" s="40" t="n">
        <x:v>0.3314304105394694</x:v>
      </x:c>
      <x:c r="P26" s="40" t="n">
        <x:v>0.6617647058823529</x:v>
      </x:c>
      <x:c r="Q26" s="40" t="n">
        <x:v>0.9230769230769231</x:v>
      </x:c>
      <x:c r="R26" s="40" t="n">
        <x:v>0.5633802816901409</x:v>
      </x:c>
      <x:c r="S26" s="40" t="n">
        <x:v>0.43661971830985913</x:v>
      </x:c>
      <x:c r="T26" s="40" t="n">
        <x:v>0.5735294117647058</x:v>
      </x:c>
      <x:c r="U26" s="40" t="n">
        <x:v>0.42001267272224535</x:v>
      </x:c>
      <x:c r="V26" s="40" t="n">
        <x:v>0.6644167038429674</x:v>
      </x:c>
      <x:c r="W26" s="64" t="str">
        <x:v>Stage 5 – Early Recovery</x:v>
      </x:c>
      <x:c r="X26" s="64" t="str">
        <x:v>Rev3M +8.6%; Accel3M +33.1ppt; Stock3M +5.9%; EV/EBITDA 5.4x (56th pct); PeakRatio36M 42%; Multiple3M -5.5%; Earnings-Price Gap +2.7%; CycleHeat 66%. Forward EBITDA revisions have turned positive and are accelerating, but EBITDA remains well below its recent peak.</x:v>
      </x:c>
    </x:row>
    <x:row r="27">
      <x:c r="A27" s="32" t="n">
        <x:v>43799</x:v>
      </x:c>
      <x:c r="B27" s="33" t="n">
        <x:v>0.1554</x:v>
      </x:c>
      <x:c r="C27" s="40" t="n">
        <x:f>IFERROR((1+B27)/(1+B26)-1,"")</x:f>
        <x:v>-0.0008647526807333827</x:v>
      </x:c>
      <x:c r="D27" s="40" t="n">
        <x:f>IFERROR((1+B27)/(1+B24)-1,"")</x:f>
        <x:v>0.04950495049504955</x:v>
      </x:c>
      <x:c r="E27" s="40" t="n">
        <x:f>IFERROR((1+B27)/(1+B21)-1,"")</x:f>
        <x:v>0.456998738965952</x:v>
      </x:c>
      <x:c r="F27" s="36" t="n">
        <x:v>5.502846980586519</x:v>
      </x:c>
      <x:c r="G27" s="40" t="n">
        <x:f>IFERROR(F27/F24-1,"")</x:f>
        <x:v>0.011986883796823555</x:v>
      </x:c>
      <x:c r="H27" s="38" t="n">
        <x:v>9.051459165099853</x:v>
      </x:c>
      <x:c r="I27" s="40" t="n">
        <x:f>IFERROR(H27/H26-1,"")</x:f>
        <x:v>0</x:v>
      </x:c>
      <x:c r="J27" s="40" t="n">
        <x:f>IFERROR(H27/H24-1,"")</x:f>
        <x:v>0.07127213848533276</x:v>
      </x:c>
      <x:c r="K27" s="40" t="n">
        <x:f>IFERROR(H27/H21-1,"")</x:f>
        <x:v>-0.07929558008435078</x:v>
      </x:c>
      <x:c r="L27" s="40" t="n">
        <x:f>IFERROR(J27-J26,"")</x:f>
        <x:v>-0.014852765847828575</x:v>
      </x:c>
      <x:c r="M27" s="40" t="n">
        <x:f>IFERROR(J27-D27,"")</x:f>
        <x:v>0.02176718799028321</x:v>
      </x:c>
      <x:c r="N27" s="42" t="str">
        <x:f>IF(J27&lt;0,IF(D27&lt;0,"Down-cycle","Price up / earnings down"),IF(AND(J27&gt;0,L27&lt;0,M27&lt;-0.15),"Late-cycle warning",IF(AND(J27&gt;0,M27&gt;0),"Earnings-led expansion",IF(AND(J27&gt;0,D27&lt;0),"Potential dislocation",IF(AND(J27&gt;0,M27&lt;0),"Price ahead / rerating","Neutral")))))</x:f>
        <x:v>Earnings-led expansion</x:v>
      </x:c>
      <x:c r="O27" s="40" t="n">
        <x:v>0.21182253008103924</x:v>
      </x:c>
      <x:c r="P27" s="40" t="n">
        <x:v>0.6102941176470589</x:v>
      </x:c>
      <x:c r="Q27" s="40" t="n">
        <x:v>0.8153846153846154</x:v>
      </x:c>
      <x:c r="R27" s="40" t="n">
        <x:v>0.6197183098591549</x:v>
      </x:c>
      <x:c r="S27" s="40" t="n">
        <x:v>0.3802816901408451</x:v>
      </x:c>
      <x:c r="T27" s="40" t="n">
        <x:v>0.5294117647058824</x:v>
      </x:c>
      <x:c r="U27" s="40" t="n">
        <x:v>0.42001267272224535</x:v>
      </x:c>
      <x:c r="V27" s="40" t="n">
        <x:v>0.59938778599197</x:v>
      </x:c>
      <x:c r="W27" s="64" t="str">
        <x:v>Stage 5 – Early Recovery</x:v>
      </x:c>
      <x:c r="X27" s="64" t="str">
        <x:v>Rev3M +7.1%; Accel3M +21.2ppt; Stock3M +5.0%; EV/EBITDA 5.5x (62th pct); PeakRatio36M 42%; Multiple3M +1.2%; Earnings-Price Gap +2.2%; CycleHeat 60%. Forward EBITDA revisions have turned positive and are accelerating, but EBITDA remains well below its recent peak.</x:v>
      </x:c>
    </x:row>
    <x:row r="28">
      <x:c r="A28" s="32" t="n">
        <x:v>43830</x:v>
      </x:c>
      <x:c r="B28" s="33" t="n">
        <x:v>0.3079</x:v>
      </x:c>
      <x:c r="C28" s="40" t="n">
        <x:f>IFERROR((1+B28)/(1+B27)-1,"")</x:f>
        <x:v>0.13198892158559805</x:v>
      </x:c>
      <x:c r="D28" s="40" t="n">
        <x:f>IFERROR((1+B28)/(1+B25)-1,"")</x:f>
        <x:v>0.2550618942519911</x:v>
      </x:c>
      <x:c r="E28" s="40" t="n">
        <x:f>IFERROR((1+B28)/(1+B22)-1,"")</x:f>
        <x:v>0.39360681939264786</x:v>
      </x:c>
      <x:c r="F28" s="36" t="n">
        <x:v>6.560198359406436</x:v>
      </x:c>
      <x:c r="G28" s="40" t="n">
        <x:f>IFERROR(F28/F25-1,"")</x:f>
        <x:v>0.20284785376533465</x:v>
      </x:c>
      <x:c r="H28" s="38" t="n">
        <x:v>8.745178763476725</x:v>
      </x:c>
      <x:c r="I28" s="40" t="n">
        <x:f>IFERROR(H28/H27-1,"")</x:f>
        <x:v>-0.03383768252571573</x:v>
      </x:c>
      <x:c r="J28" s="40" t="n">
        <x:f>IFERROR(H28/H25-1,"")</x:f>
        <x:v>-0.020442222906341456</x:v>
      </x:c>
      <x:c r="K28" s="40" t="n">
        <x:f>IFERROR(H28/H22-1,"")</x:f>
        <x:v>0.0936283326378049</x:v>
      </x:c>
      <x:c r="L28" s="40" t="n">
        <x:f>IFERROR(J28-J27,"")</x:f>
        <x:v>-0.09171436139167422</x:v>
      </x:c>
      <x:c r="M28" s="40" t="n">
        <x:f>IFERROR(J28-D28,"")</x:f>
        <x:v>-0.27550411715833256</x:v>
      </x:c>
      <x:c r="N28" s="42" t="str">
        <x:f>IF(J28&lt;0,IF(D28&lt;0,"Down-cycle","Price up / earnings down"),IF(AND(J28&gt;0,L28&lt;0,M28&lt;-0.15),"Late-cycle warning",IF(AND(J28&gt;0,M28&gt;0),"Earnings-led expansion",IF(AND(J28&gt;0,D28&lt;0),"Potential dislocation",IF(AND(J28&gt;0,M28&lt;0),"Price ahead / rerating","Neutral")))))</x:f>
        <x:v>Price up / earnings down</x:v>
      </x:c>
      <x:c r="O28" s="40" t="n">
        <x:v>-0.13689329727031918</x:v>
      </x:c>
      <x:c r="P28" s="40" t="n">
        <x:v>0.4411764705882353</x:v>
      </x:c>
      <x:c r="Q28" s="40" t="n">
        <x:v>0.26153846153846155</x:v>
      </x:c>
      <x:c r="R28" s="40" t="n">
        <x:v>0.704225352112676</x:v>
      </x:c>
      <x:c r="S28" s="40" t="n">
        <x:v>0.295774647887324</x:v>
      </x:c>
      <x:c r="T28" s="40" t="n">
        <x:v>0.8970588235294118</x:v>
      </x:c>
      <x:c r="U28" s="40" t="n">
        <x:v>0.40580041724589266</x:v>
      </x:c>
      <x:c r="V28" s="40" t="n">
        <x:v>0.45836307437384494</x:v>
      </x:c>
      <x:c r="W28" s="64" t="str">
        <x:v>Stage 13 – Mixed / Transition</x:v>
      </x:c>
      <x:c r="X28" s="64" t="str">
        <x:v>Rev3M -2.0%; Accel3M -13.7ppt; Stock3M +25.5%; EV/EBITDA 6.6x (70th pct); PeakRatio36M 41%; Multiple3M +20.3%; Earnings-Price Gap -27.6%; CycleHeat 46%. Signals do not fit one dominant state; treat as a transition and require confirmation from the next 1–3 monthly observations.</x:v>
      </x:c>
    </x:row>
    <x:row r="29">
      <x:c r="A29" s="32" t="n">
        <x:v>43861</x:v>
      </x:c>
      <x:c r="B29" s="33" t="n">
        <x:v>0.2911</x:v>
      </x:c>
      <x:c r="C29" s="40" t="n">
        <x:f>IFERROR((1+B29)/(1+B28)-1,"")</x:f>
        <x:v>-0.012845018732318914</x:v>
      </x:c>
      <x:c r="D29" s="40" t="n">
        <x:f>IFERROR((1+B29)/(1+B26)-1,"")</x:f>
        <x:v>0.1164821860947769</x:v>
      </x:c>
      <x:c r="E29" s="40" t="n">
        <x:f>IFERROR((1+B29)/(1+B23)-1,"")</x:f>
        <x:v>0.1826509114225523</x:v>
      </x:c>
      <x:c r="F29" s="36" t="n">
        <x:v>7.0254242041137545</x:v>
      </x:c>
      <x:c r="G29" s="40" t="n">
        <x:f>IFERROR(F29/F26-1,"")</x:f>
        <x:v>0.29971293692878387</x:v>
      </x:c>
      <x:c r="H29" s="38" t="n">
        <x:v>8.685177737621105</x:v>
      </x:c>
      <x:c r="I29" s="40" t="n">
        <x:f>IFERROR(H29/H28-1,"")</x:f>
        <x:v>-0.006861040520544592</x:v>
      </x:c>
      <x:c r="J29" s="40" t="n">
        <x:f>IFERROR(H29/H26-1,"")</x:f>
        <x:v>-0.04046656133533</x:v>
      </x:c>
      <x:c r="K29" s="40" t="n">
        <x:f>IFERROR(H29/H23-1,"")</x:f>
        <x:v>0.04217316427413409</x:v>
      </x:c>
      <x:c r="L29" s="40" t="n">
        <x:f>IFERROR(J29-J28,"")</x:f>
        <x:v>-0.020024338428988542</x:v>
      </x:c>
      <x:c r="M29" s="40" t="n">
        <x:f>IFERROR(J29-D29,"")</x:f>
        <x:v>-0.1569487474301069</x:v>
      </x:c>
      <x:c r="N29" s="42" t="str">
        <x:f>IF(J29&lt;0,IF(D29&lt;0,"Down-cycle","Price up / earnings down"),IF(AND(J29&gt;0,L29&lt;0,M29&lt;-0.15),"Late-cycle warning",IF(AND(J29&gt;0,M29&gt;0),"Earnings-led expansion",IF(AND(J29&gt;0,D29&lt;0),"Potential dislocation",IF(AND(J29&gt;0,M29&lt;0),"Price ahead / rerating","Neutral")))))</x:f>
        <x:v>Price up / earnings down</x:v>
      </x:c>
      <x:c r="O29" s="40" t="n">
        <x:v>-0.12659146566849133</x:v>
      </x:c>
      <x:c r="P29" s="40" t="n">
        <x:v>0.38235294117647056</x:v>
      </x:c>
      <x:c r="Q29" s="40" t="n">
        <x:v>0.27692307692307694</x:v>
      </x:c>
      <x:c r="R29" s="40" t="n">
        <x:v>0.7464788732394366</x:v>
      </x:c>
      <x:c r="S29" s="40" t="n">
        <x:v>0.2535211267605634</x:v>
      </x:c>
      <x:c r="T29" s="40" t="n">
        <x:v>0.75</x:v>
      </x:c>
      <x:c r="U29" s="40" t="n">
        <x:v>0.4030162041399147</x:v>
      </x:c>
      <x:c r="V29" s="40" t="n">
        <x:v>0.4037585239946466</x:v>
      </x:c>
      <x:c r="W29" s="64" t="str">
        <x:v>Stage 13 – Mixed / Transition</x:v>
      </x:c>
      <x:c r="X29" s="64" t="str">
        <x:v>Rev3M -4.0%; Accel3M -12.7ppt; Stock3M +11.6%; EV/EBITDA 7.0x (75th pct); PeakRatio36M 40%; Multiple3M +30.0%; Earnings-Price Gap -15.7%; CycleHeat 40%. Signals do not fit one dominant state; treat as a transition and require confirmation from the next 1–3 monthly observations.</x:v>
      </x:c>
    </x:row>
    <x:row r="30">
      <x:c r="A30" s="32" t="n">
        <x:v>43890</x:v>
      </x:c>
      <x:c r="B30" s="33" t="n">
        <x:v>0.2782</x:v>
      </x:c>
      <x:c r="C30" s="40" t="n">
        <x:f>IFERROR((1+B30)/(1+B29)-1,"")</x:f>
        <x:v>-0.009991480133219821</x:v>
      </x:c>
      <x:c r="D30" s="40" t="n">
        <x:f>IFERROR((1+B30)/(1+B27)-1,"")</x:f>
        <x:v>0.10628353816859959</x:v>
      </x:c>
      <x:c r="E30" s="40" t="n">
        <x:f>IFERROR((1+B30)/(1+B24)-1,"")</x:f>
        <x:v>0.1610500499591243</x:v>
      </x:c>
      <x:c r="F30" s="36" t="n">
        <x:v>6.501832970654118</x:v>
      </x:c>
      <x:c r="G30" s="40" t="n">
        <x:f>IFERROR(F30/F27-1,"")</x:f>
        <x:v>0.1815398453912891</x:v>
      </x:c>
      <x:c r="H30" s="38" t="n">
        <x:v>8.927680396171844</x:v>
      </x:c>
      <x:c r="I30" s="40" t="n">
        <x:f>IFERROR(H30/H29-1,"")</x:f>
        <x:v>0.02792143878648612</x:v>
      </x:c>
      <x:c r="J30" s="40" t="n">
        <x:f>IFERROR(H30/H27-1,"")</x:f>
        <x:v>-0.013675007164067998</x:v>
      </x:c>
      <x:c r="K30" s="40" t="n">
        <x:f>IFERROR(H30/H24-1,"")</x:f>
        <x:v>0.05662248431687944</x:v>
      </x:c>
      <x:c r="L30" s="40" t="n">
        <x:f>IFERROR(J30-J29,"")</x:f>
        <x:v>0.026791554171262</x:v>
      </x:c>
      <x:c r="M30" s="40" t="n">
        <x:f>IFERROR(J30-D30,"")</x:f>
        <x:v>-0.11995854533266759</x:v>
      </x:c>
      <x:c r="N30" s="42" t="str">
        <x:f>IF(J30&lt;0,IF(D30&lt;0,"Down-cycle","Price up / earnings down"),IF(AND(J30&gt;0,L30&lt;0,M30&lt;-0.15),"Late-cycle warning",IF(AND(J30&gt;0,M30&gt;0),"Earnings-led expansion",IF(AND(J30&gt;0,D30&lt;0),"Potential dislocation",IF(AND(J30&gt;0,M30&lt;0),"Price ahead / rerating","Neutral")))))</x:f>
        <x:v>Price up / earnings down</x:v>
      </x:c>
      <x:c r="O30" s="40" t="n">
        <x:v>-0.08494714564940076</x:v>
      </x:c>
      <x:c r="P30" s="40" t="n">
        <x:v>0.45588235294117646</x:v>
      </x:c>
      <x:c r="Q30" s="40" t="n">
        <x:v>0.3230769230769231</x:v>
      </x:c>
      <x:c r="R30" s="40" t="n">
        <x:v>0.6901408450704225</x:v>
      </x:c>
      <x:c r="S30" s="40" t="n">
        <x:v>0.3098591549295775</x:v>
      </x:c>
      <x:c r="T30" s="40" t="n">
        <x:v>0.6911764705882353</x:v>
      </x:c>
      <x:c r="U30" s="40" t="n">
        <x:v>0.4142689964137693</x:v>
      </x:c>
      <x:c r="V30" s="40" t="n">
        <x:v>0.4405351794022051</x:v>
      </x:c>
      <x:c r="W30" s="64" t="str">
        <x:v>Stage 13 – Mixed / Transition</x:v>
      </x:c>
      <x:c r="X30" s="64" t="str">
        <x:v>Rev3M -1.4%; Accel3M -8.5ppt; Stock3M +10.6%; EV/EBITDA 6.5x (69th pct); PeakRatio36M 41%; Multiple3M +18.2%; Earnings-Price Gap -12.0%; CycleHeat 44%. Signals do not fit one dominant state; treat as a transition and require confirmation from the next 1–3 monthly observations.</x:v>
      </x:c>
    </x:row>
    <x:row r="31">
      <x:c r="A31" s="32" t="n">
        <x:v>43921</x:v>
      </x:c>
      <x:c r="B31" s="33" t="n">
        <x:v>0.0229</x:v>
      </x:c>
      <x:c r="C31" s="40" t="n">
        <x:f>IFERROR((1+B31)/(1+B30)-1,"")</x:f>
        <x:v>-0.19973400093882032</x:v>
      </x:c>
      <x:c r="D31" s="40" t="n">
        <x:f>IFERROR((1+B31)/(1+B28)-1,"")</x:f>
        <x:v>-0.2179065677804114</x:v>
      </x:c>
      <x:c r="E31" s="40" t="n">
        <x:f>IFERROR((1+B31)/(1+B25)-1,"")</x:f>
        <x:v>-0.018424335476441955</x:v>
      </x:c>
      <x:c r="F31" s="36" t="n">
        <x:v>4.6573520157199155</x:v>
      </x:c>
      <x:c r="G31" s="40" t="n">
        <x:f>IFERROR(F31/F28-1,"")</x:f>
        <x:v>-0.29005926946676797</x:v>
      </x:c>
      <x:c r="H31" s="38" t="n">
        <x:v>9.176954077858866</x:v>
      </x:c>
      <x:c r="I31" s="40" t="n">
        <x:f>IFERROR(H31/H30-1,"")</x:f>
        <x:v>0.027921438786485897</x:v>
      </x:c>
      <x:c r="J31" s="40" t="n">
        <x:f>IFERROR(H31/H28-1,"")</x:f>
        <x:v>0.04937295463706293</x:v>
      </x:c>
      <x:c r="K31" s="40" t="n">
        <x:f>IFERROR(H31/H25-1,"")</x:f>
        <x:v>0.027921438786485897</x:v>
      </x:c>
      <x:c r="L31" s="40" t="n">
        <x:f>IFERROR(J31-J30,"")</x:f>
        <x:v>0.06304796180113093</x:v>
      </x:c>
      <x:c r="M31" s="40" t="n">
        <x:f>IFERROR(J31-D31,"")</x:f>
        <x:v>0.2672795224174743</x:v>
      </x:c>
      <x:c r="N31" s="42" t="str">
        <x:f>IF(J31&lt;0,IF(D31&lt;0,"Down-cycle","Price up / earnings down"),IF(AND(J31&gt;0,L31&lt;0,M31&lt;-0.15),"Late-cycle warning",IF(AND(J31&gt;0,M31&gt;0),"Earnings-led expansion",IF(AND(J31&gt;0,D31&lt;0),"Potential dislocation",IF(AND(J31&gt;0,M31&lt;0),"Price ahead / rerating","Neutral")))))</x:f>
        <x:v>Earnings-led expansion</x:v>
      </x:c>
      <x:c r="O31" s="40" t="n">
        <x:v>0.06981517754340438</x:v>
      </x:c>
      <x:c r="P31" s="40" t="n">
        <x:v>0.5588235294117647</x:v>
      </x:c>
      <x:c r="Q31" s="40" t="n">
        <x:v>0.5692307692307692</x:v>
      </x:c>
      <x:c r="R31" s="40" t="n">
        <x:v>0.36619718309859156</x:v>
      </x:c>
      <x:c r="S31" s="40" t="n">
        <x:v>0.6338028169014085</x:v>
      </x:c>
      <x:c r="T31" s="40" t="n">
        <x:v>0.07352941176470588</x:v>
      </x:c>
      <x:c r="U31" s="40" t="n">
        <x:v>0.4258359828382753</x:v>
      </x:c>
      <x:c r="V31" s="40" t="n">
        <x:v>0.4793623733350329</x:v>
      </x:c>
      <x:c r="W31" s="64" t="str">
        <x:v>Stage 5 – Early Recovery</x:v>
      </x:c>
      <x:c r="X31" s="64" t="str">
        <x:v>Rev3M +4.9%; Accel3M +7.0ppt; Stock3M -21.8%; EV/EBITDA 4.7x (37th pct); PeakRatio36M 43%; Multiple3M -29.0%; Earnings-Price Gap +26.7%; CycleHeat 48%. Forward EBITDA revisions have turned positive and are accelerating, but EBITDA remains well below its recent peak.</x:v>
      </x:c>
    </x:row>
    <x:row r="32">
      <x:c r="A32" s="32" t="n">
        <x:v>43951</x:v>
      </x:c>
      <x:c r="B32" s="33" t="n">
        <x:v>0.1646</x:v>
      </x:c>
      <x:c r="C32" s="40" t="n">
        <x:f>IFERROR((1+B32)/(1+B31)-1,"")</x:f>
        <x:v>0.13852771531919061</x:v>
      </x:c>
      <x:c r="D32" s="40" t="n">
        <x:f>IFERROR((1+B32)/(1+B29)-1,"")</x:f>
        <x:v>-0.09797846797304632</x:v>
      </x:c>
      <x:c r="E32" s="40" t="n">
        <x:f>IFERROR((1+B32)/(1+B26)-1,"")</x:f>
        <x:v>0.007090971982013139</x:v>
      </x:c>
      <x:c r="F32" s="36" t="n">
        <x:v>5.06247918289378</x:v>
      </x:c>
      <x:c r="G32" s="40" t="n">
        <x:f>IFERROR(F32/F29-1,"")</x:f>
        <x:v>-0.27940590691599343</x:v>
      </x:c>
      <x:c r="H32" s="38" t="n">
        <x:v>9.696576016209184</x:v>
      </x:c>
      <x:c r="I32" s="40" t="n">
        <x:f>IFERROR(H32/H31-1,"")</x:f>
        <x:v>0.05662248431688277</x:v>
      </x:c>
      <x:c r="J32" s="40" t="n">
        <x:f>IFERROR(H32/H29-1,"")</x:f>
        <x:v>0.11645107436397772</x:v>
      </x:c>
      <x:c r="K32" s="40" t="n">
        <x:f>IFERROR(H32/H26-1,"")</x:f>
        <x:v>0.07127213848533276</x:v>
      </x:c>
      <x:c r="L32" s="40" t="n">
        <x:f>IFERROR(J32-J31,"")</x:f>
        <x:v>0.0670781197269148</x:v>
      </x:c>
      <x:c r="M32" s="40" t="n">
        <x:f>IFERROR(J32-D32,"")</x:f>
        <x:v>0.21442954233702405</x:v>
      </x:c>
      <x:c r="N32" s="42" t="str">
        <x:f>IF(J32&lt;0,IF(D32&lt;0,"Down-cycle","Price up / earnings down"),IF(AND(J32&gt;0,L32&lt;0,M32&lt;-0.15),"Late-cycle warning",IF(AND(J32&gt;0,M32&gt;0),"Earnings-led expansion",IF(AND(J32&gt;0,D32&lt;0),"Potential dislocation",IF(AND(J32&gt;0,M32&lt;0),"Price ahead / rerating","Neutral")))))</x:f>
        <x:v>Earnings-led expansion</x:v>
      </x:c>
      <x:c r="O32" s="40" t="n">
        <x:v>0.15691763569930772</x:v>
      </x:c>
      <x:c r="P32" s="40" t="n">
        <x:v>0.7573529411764706</x:v>
      </x:c>
      <x:c r="Q32" s="40" t="n">
        <x:v>0.7846153846153846</x:v>
      </x:c>
      <x:c r="R32" s="40" t="n">
        <x:v>0.5070422535211268</x:v>
      </x:c>
      <x:c r="S32" s="40" t="n">
        <x:v>0.49295774647887325</x:v>
      </x:c>
      <x:c r="T32" s="40" t="n">
        <x:v>0.23529411764705882</x:v>
      </x:c>
      <x:c r="U32" s="40" t="n">
        <x:v>0.4499478740980999</x:v>
      </x:c>
      <x:c r="V32" s="40" t="n">
        <x:v>0.6068777483907972</x:v>
      </x:c>
      <x:c r="W32" s="64" t="str">
        <x:v>Stage 5 – Early Recovery</x:v>
      </x:c>
      <x:c r="X32" s="64" t="str">
        <x:v>Rev3M +11.6%; Accel3M +15.7ppt; Stock3M -9.8%; EV/EBITDA 5.1x (51th pct); PeakRatio36M 45%; Multiple3M -27.9%; Earnings-Price Gap +21.4%; CycleHeat 61%. Forward EBITDA revisions have turned positive and are accelerating, but EBITDA remains well below its recent peak.</x:v>
      </x:c>
    </x:row>
    <x:row r="33">
      <x:c r="A33" s="32" t="n">
        <x:v>43982</x:v>
      </x:c>
      <x:c r="B33" s="33" t="n">
        <x:v>0.1651</x:v>
      </x:c>
      <x:c r="C33" s="40" t="n">
        <x:f>IFERROR((1+B33)/(1+B32)-1,"")</x:f>
        <x:v>0.0004293319594710354</x:v>
      </x:c>
      <x:c r="D33" s="40" t="n">
        <x:f>IFERROR((1+B33)/(1+B30)-1,"")</x:f>
        <x:v>-0.0884838053512752</x:v>
      </x:c>
      <x:c r="E33" s="40" t="n">
        <x:f>IFERROR((1+B33)/(1+B27)-1,"")</x:f>
        <x:v>0.008395360913969308</x:v>
      </x:c>
      <x:c r="F33" s="36" t="n">
        <x:v>5.153776441503629</x:v>
      </x:c>
      <x:c r="G33" s="40" t="n">
        <x:f>IFERROR(F33/F30-1,"")</x:f>
        <x:v>-0.20733484468686192</x:v>
      </x:c>
      <x:c r="H33" s="38" t="n">
        <x:v>9.563975269720594</x:v>
      </x:c>
      <x:c r="I33" s="40" t="n">
        <x:f>IFERROR(H33/H32-1,"")</x:f>
        <x:v>-0.013675007164067998</x:v>
      </x:c>
      <x:c r="J33" s="40" t="n">
        <x:f>IFERROR(H33/H30-1,"")</x:f>
        <x:v>0.07127213848533276</x:v>
      </x:c>
      <x:c r="K33" s="40" t="n">
        <x:f>IFERROR(H33/H27-1,"")</x:f>
        <x:v>0.05662248431687944</x:v>
      </x:c>
      <x:c r="L33" s="40" t="n">
        <x:f>IFERROR(J33-J32,"")</x:f>
        <x:v>-0.045178935878644966</x:v>
      </x:c>
      <x:c r="M33" s="40" t="n">
        <x:f>IFERROR(J33-D33,"")</x:f>
        <x:v>0.15975594383660796</x:v>
      </x:c>
      <x:c r="N33" s="42" t="str">
        <x:f>IF(J33&lt;0,IF(D33&lt;0,"Down-cycle","Price up / earnings down"),IF(AND(J33&gt;0,L33&lt;0,M33&lt;-0.15),"Late-cycle warning",IF(AND(J33&gt;0,M33&gt;0),"Earnings-led expansion",IF(AND(J33&gt;0,D33&lt;0),"Potential dislocation",IF(AND(J33&gt;0,M33&lt;0),"Price ahead / rerating","Neutral")))))</x:f>
        <x:v>Earnings-led expansion</x:v>
      </x:c>
      <x:c r="O33" s="40" t="n">
        <x:v>0.08494714564940076</x:v>
      </x:c>
      <x:c r="P33" s="40" t="n">
        <x:v>0.6102941176470589</x:v>
      </x:c>
      <x:c r="Q33" s="40" t="n">
        <x:v>0.6153846153846154</x:v>
      </x:c>
      <x:c r="R33" s="40" t="n">
        <x:v>0.5352112676056338</x:v>
      </x:c>
      <x:c r="S33" s="40" t="n">
        <x:v>0.46478873239436624</x:v>
      </x:c>
      <x:c r="T33" s="40" t="n">
        <x:v>0.29411764705882354</x:v>
      </x:c>
      <x:c r="U33" s="40" t="n">
        <x:v>0.44379483369635125</x:v>
      </x:c>
      <x:c r="V33" s="40" t="n">
        <x:v>0.5192303709132624</x:v>
      </x:c>
      <x:c r="W33" s="64" t="str">
        <x:v>Stage 5 – Early Recovery</x:v>
      </x:c>
      <x:c r="X33" s="64" t="str">
        <x:v>Rev3M +7.1%; Accel3M +8.5ppt; Stock3M -8.8%; EV/EBITDA 5.2x (54th pct); PeakRatio36M 44%; Multiple3M -20.7%; Earnings-Price Gap +16.0%; CycleHeat 52%. Forward EBITDA revisions have turned positive and are accelerating, but EBITDA remains well below its recent peak.</x:v>
      </x:c>
    </x:row>
    <x:row r="34">
      <x:c r="A34" s="32" t="n">
        <x:v>44012</x:v>
      </x:c>
      <x:c r="B34" s="33" t="n">
        <x:v>0.2529</x:v>
      </x:c>
      <x:c r="C34" s="40" t="n">
        <x:f>IFERROR((1+B34)/(1+B33)-1,"")</x:f>
        <x:v>0.07535833834005645</x:v>
      </x:c>
      <x:c r="D34" s="40" t="n">
        <x:f>IFERROR((1+B34)/(1+B31)-1,"")</x:f>
        <x:v>0.2248509140678463</x:v>
      </x:c>
      <x:c r="E34" s="40" t="n">
        <x:f>IFERROR((1+B34)/(1+B28)-1,"")</x:f>
        <x:v>-0.04205214465937779</x:v>
      </x:c>
      <x:c r="F34" s="36" t="n">
        <x:v>5.169151928835547</x:v>
      </x:c>
      <x:c r="G34" s="40" t="n">
        <x:f>IFERROR(F34/F31-1,"")</x:f>
        <x:v>0.10989075152321726</x:v>
      </x:c>
      <x:c r="H34" s="38" t="n">
        <x:v>10.245620239614416</x:v>
      </x:c>
      <x:c r="I34" s="40" t="n">
        <x:f>IFERROR(H34/H33-1,"")</x:f>
        <x:v>0.07127213848533254</x:v>
      </x:c>
      <x:c r="J34" s="40" t="n">
        <x:f>IFERROR(H34/H31-1,"")</x:f>
        <x:v>0.1164510743639775</x:v>
      </x:c>
      <x:c r="K34" s="40" t="n">
        <x:f>IFERROR(H34/H28-1,"")</x:f>
        <x:v>0.17157356261305035</x:v>
      </x:c>
      <x:c r="L34" s="40" t="n">
        <x:f>IFERROR(J34-J33,"")</x:f>
        <x:v>0.045178935878644744</x:v>
      </x:c>
      <x:c r="M34" s="40" t="n">
        <x:f>IFERROR(J34-D34,"")</x:f>
        <x:v>-0.1083998397038688</x:v>
      </x:c>
      <x:c r="N34" s="42" t="str">
        <x:f>IF(J34&lt;0,IF(D34&lt;0,"Down-cycle","Price up / earnings down"),IF(AND(J34&gt;0,L34&lt;0,M34&lt;-0.15),"Late-cycle warning",IF(AND(J34&gt;0,M34&gt;0),"Earnings-led expansion",IF(AND(J34&gt;0,D34&lt;0),"Potential dislocation",IF(AND(J34&gt;0,M34&lt;0),"Price ahead / rerating","Neutral")))))</x:f>
        <x:v>Price ahead / rerating</x:v>
      </x:c>
      <x:c r="O34" s="40" t="n">
        <x:v>0.06707811972691458</x:v>
      </x:c>
      <x:c r="P34" s="40" t="n">
        <x:v>0.7352941176470589</x:v>
      </x:c>
      <x:c r="Q34" s="40" t="n">
        <x:v>0.5384615384615384</x:v>
      </x:c>
      <x:c r="R34" s="40" t="n">
        <x:v>0.5492957746478874</x:v>
      </x:c>
      <x:c r="S34" s="40" t="n">
        <x:v>0.45070422535211263</x:v>
      </x:c>
      <x:c r="T34" s="40" t="n">
        <x:v>0.8676470588235294</x:v>
      </x:c>
      <x:c r="U34" s="40" t="n">
        <x:v>0.47542504054263274</x:v>
      </x:c>
      <x:c r="V34" s="40" t="n">
        <x:v>0.6556385826269837</x:v>
      </x:c>
      <x:c r="W34" s="64" t="str">
        <x:v>Stage 5 – Early Recovery</x:v>
      </x:c>
      <x:c r="X34" s="64" t="str">
        <x:v>Rev3M +11.6%; Accel3M +6.7ppt; Stock3M +22.5%; EV/EBITDA 5.2x (55th pct); PeakRatio36M 48%; Multiple3M +11.0%; Earnings-Price Gap -10.8%; CycleHeat 66%. Forward EBITDA revisions have turned positive and are accelerating, but EBITDA remains well below its recent peak.</x:v>
      </x:c>
    </x:row>
    <x:row r="35">
      <x:c r="A35" s="32" t="n">
        <x:v>44043</x:v>
      </x:c>
      <x:c r="B35" s="33" t="n">
        <x:v>0.2173</x:v>
      </x:c>
      <x:c r="C35" s="40" t="n">
        <x:f>IFERROR((1+B35)/(1+B34)-1,"")</x:f>
        <x:v>-0.028414079335940534</x:v>
      </x:c>
      <x:c r="D35" s="40" t="n">
        <x:f>IFERROR((1+B35)/(1+B32)-1,"")</x:f>
        <x:v>0.045251588528250064</x:v>
      </x:c>
      <x:c r="E35" s="40" t="n">
        <x:f>IFERROR((1+B35)/(1+B29)-1,"")</x:f>
        <x:v>-0.05716056076214082</x:v>
      </x:c>
      <x:c r="F35" s="36" t="n">
        <x:v>4.8268490297302025</x:v>
      </x:c>
      <x:c r="G35" s="40" t="n">
        <x:f>IFERROR(F35/F32-1,"")</x:f>
        <x:v>-0.04654441917702623</x:v>
      </x:c>
      <x:c r="H35" s="38" t="n">
        <x:v>11.282308958418676</x:v>
      </x:c>
      <x:c r="I35" s="40" t="n">
        <x:f>IFERROR(H35/H34-1,"")</x:f>
        <x:v>0.10118359792371878</x:v>
      </x:c>
      <x:c r="J35" s="40" t="n">
        <x:f>IFERROR(H35/H32-1,"")</x:f>
        <x:v>0.16353534892715937</x:v>
      </x:c>
      <x:c r="K35" s="40" t="n">
        <x:f>IFERROR(H35/H29-1,"")</x:f>
        <x:v>0.2990302903701927</x:v>
      </x:c>
      <x:c r="L35" s="40" t="n">
        <x:f>IFERROR(J35-J34,"")</x:f>
        <x:v>0.04708427456318187</x:v>
      </x:c>
      <x:c r="M35" s="40" t="n">
        <x:f>IFERROR(J35-D35,"")</x:f>
        <x:v>0.11828376039890931</x:v>
      </x:c>
      <x:c r="N35" s="42" t="str">
        <x:f>IF(J35&lt;0,IF(D35&lt;0,"Down-cycle","Price up / earnings down"),IF(AND(J35&gt;0,L35&lt;0,M35&lt;-0.15),"Late-cycle warning",IF(AND(J35&gt;0,M35&gt;0),"Earnings-led expansion",IF(AND(J35&gt;0,D35&lt;0),"Potential dislocation",IF(AND(J35&gt;0,M35&lt;0),"Price ahead / rerating","Neutral")))))</x:f>
        <x:v>Earnings-led expansion</x:v>
      </x:c>
      <x:c r="O35" s="40" t="n">
        <x:v>0.04708427456318165</x:v>
      </x:c>
      <x:c r="P35" s="40" t="n">
        <x:v>0.8235294117647058</x:v>
      </x:c>
      <x:c r="Q35" s="40" t="n">
        <x:v>0.5076923076923077</x:v>
      </x:c>
      <x:c r="R35" s="40" t="n">
        <x:v>0.4084507042253521</x:v>
      </x:c>
      <x:c r="S35" s="40" t="n">
        <x:v>0.5915492957746479</x:v>
      </x:c>
      <x:c r="T35" s="40" t="n">
        <x:v>0.5</x:v>
      </x:c>
      <x:c r="U35" s="40" t="n">
        <x:v>0.5235302566877662</x:v>
      </x:c>
      <x:c r="V35" s="40" t="n">
        <x:v>0.6334682301956535</x:v>
      </x:c>
      <x:c r="W35" s="64" t="str">
        <x:v>Stage 5 – Early Recovery</x:v>
      </x:c>
      <x:c r="X35" s="64" t="str">
        <x:v>Rev3M +16.4%; Accel3M +4.7ppt; Stock3M +4.5%; EV/EBITDA 4.8x (41th pct); PeakRatio36M 52%; Multiple3M -4.7%; Earnings-Price Gap +11.8%; CycleHeat 63%. Forward EBITDA revisions have turned positive and are accelerating, but EBITDA remains well below its recent peak.</x:v>
      </x:c>
    </x:row>
    <x:row r="36">
      <x:c r="A36" s="32" t="n">
        <x:v>44074</x:v>
      </x:c>
      <x:c r="B36" s="33" t="n">
        <x:v>0.1068</x:v>
      </x:c>
      <x:c r="C36" s="40" t="n">
        <x:f>IFERROR((1+B36)/(1+B35)-1,"")</x:f>
        <x:v>-0.09077466524275035</x:v>
      </x:c>
      <x:c r="D36" s="40" t="n">
        <x:f>IFERROR((1+B36)/(1+B33)-1,"")</x:f>
        <x:v>-0.050038623294137885</x:v>
      </x:c>
      <x:c r="E36" s="40" t="n">
        <x:f>IFERROR((1+B36)/(1+B30)-1,"")</x:f>
        <x:v>-0.1340948208418088</x:v>
      </x:c>
      <x:c r="F36" s="36" t="n">
        <x:v>4.855692291217646</x:v>
      </x:c>
      <x:c r="G36" s="40" t="n">
        <x:f>IFERROR(F36/F33-1,"")</x:f>
        <x:v>-0.05783800552260976</x:v>
      </x:c>
      <x:c r="H36" s="38" t="n">
        <x:v>9.696576016209184</x:v>
      </x:c>
      <x:c r="I36" s="40" t="n">
        <x:f>IFERROR(H36/H35-1,"")</x:f>
        <x:v>-0.14055039159570648</x:v>
      </x:c>
      <x:c r="J36" s="40" t="n">
        <x:f>IFERROR(H36/H33-1,"")</x:f>
        <x:v>0.013864605746984893</x:v>
      </x:c>
      <x:c r="K36" s="40" t="n">
        <x:f>IFERROR(H36/H30-1,"")</x:f>
        <x:v>0.08612490433316133</x:v>
      </x:c>
      <x:c r="L36" s="40" t="n">
        <x:f>IFERROR(J36-J35,"")</x:f>
        <x:v>-0.14967074318017448</x:v>
      </x:c>
      <x:c r="M36" s="40" t="n">
        <x:f>IFERROR(J36-D36,"")</x:f>
        <x:v>0.06390322904112278</x:v>
      </x:c>
      <x:c r="N36" s="42" t="str">
        <x:f>IF(J36&lt;0,IF(D36&lt;0,"Down-cycle","Price up / earnings down"),IF(AND(J36&gt;0,L36&lt;0,M36&lt;-0.15),"Late-cycle warning",IF(AND(J36&gt;0,M36&gt;0),"Earnings-led expansion",IF(AND(J36&gt;0,D36&lt;0),"Potential dislocation",IF(AND(J36&gt;0,M36&lt;0),"Price ahead / rerating","Neutral")))))</x:f>
        <x:v>Earnings-led expansion</x:v>
      </x:c>
      <x:c r="O36" s="40" t="n">
        <x:v>-0.057407532738347866</x:v>
      </x:c>
      <x:c r="P36" s="40" t="n">
        <x:v>0.4852941176470588</x:v>
      </x:c>
      <x:c r="Q36" s="40" t="n">
        <x:v>0.36923076923076925</x:v>
      </x:c>
      <x:c r="R36" s="40" t="n">
        <x:v>0.4295774647887324</x:v>
      </x:c>
      <x:c r="S36" s="40" t="n">
        <x:v>0.5704225352112676</x:v>
      </x:c>
      <x:c r="T36" s="40" t="n">
        <x:v>0.36764705882352944</x:v>
      </x:c>
      <x:c r="U36" s="40" t="n">
        <x:v>0.4499478740980999</x:v>
      </x:c>
      <x:c r="V36" s="40" t="n">
        <x:v>0.4497745522911223</x:v>
      </x:c>
      <x:c r="W36" s="64" t="str">
        <x:v>Stage 10 – Price-Led Roll-over</x:v>
      </x:c>
      <x:c r="X36" s="64" t="str">
        <x:v>Rev3M +1.4%; Accel3M -5.7ppt; Stock3M -5.0%; EV/EBITDA 4.9x (43th pct); PeakRatio36M 45%; Multiple3M -5.8%; Earnings-Price Gap +6.4%; CycleHeat 45%. The stock has turned negative before forward EBITDA revisions have turned negative; price may be leading a future earnings slowdown.</x:v>
      </x:c>
    </x:row>
    <x:row r="37">
      <x:c r="A37" s="32" t="n">
        <x:v>44104</x:v>
      </x:c>
      <x:c r="B37" s="33" t="n">
        <x:v>0.142</x:v>
      </x:c>
      <x:c r="C37" s="40" t="n">
        <x:f>IFERROR((1+B37)/(1+B36)-1,"")</x:f>
        <x:v>0.03180339718106251</x:v>
      </x:c>
      <x:c r="D37" s="40" t="n">
        <x:f>IFERROR((1+B37)/(1+B34)-1,"")</x:f>
        <x:v>-0.08851464602123071</x:v>
      </x:c>
      <x:c r="E37" s="40" t="n">
        <x:f>IFERROR((1+B37)/(1+B31)-1,"")</x:f>
        <x:v>0.11643366898035001</x:v>
      </x:c>
      <x:c r="F37" s="36" t="n">
        <x:v>5.421492131152874</x:v>
      </x:c>
      <x:c r="G37" s="40" t="n">
        <x:f>IFERROR(F37/F34-1,"")</x:f>
        <x:v>0.048816557491698775</x:v>
      </x:c>
      <x:c r="H37" s="38" t="n">
        <x:v>9.831015219769561</x:v>
      </x:c>
      <x:c r="I37" s="40" t="n">
        <x:f>IFERROR(H37/H36-1,"")</x:f>
        <x:v>0.013864605746981562</x:v>
      </x:c>
      <x:c r="J37" s="40" t="n">
        <x:f>IFERROR(H37/H34-1,"")</x:f>
        <x:v>-0.04046656133532989</x:v>
      </x:c>
      <x:c r="K37" s="40" t="n">
        <x:f>IFERROR(H37/H31-1,"")</x:f>
        <x:v>0.07127213848533254</x:v>
      </x:c>
      <x:c r="L37" s="40" t="n">
        <x:f>IFERROR(J37-J36,"")</x:f>
        <x:v>-0.05433116708231478</x:v>
      </x:c>
      <x:c r="M37" s="40" t="n">
        <x:f>IFERROR(J37-D37,"")</x:f>
        <x:v>0.04804808468590083</x:v>
      </x:c>
      <x:c r="N37" s="42" t="str">
        <x:f>IF(J37&lt;0,IF(D37&lt;0,"Down-cycle","Price up / earnings down"),IF(AND(J37&gt;0,L37&lt;0,M37&lt;-0.15),"Late-cycle warning",IF(AND(J37&gt;0,M37&gt;0),"Earnings-led expansion",IF(AND(J37&gt;0,D37&lt;0),"Potential dislocation",IF(AND(J37&gt;0,M37&lt;0),"Price ahead / rerating","Neutral")))))</x:f>
        <x:v>Down-cycle</x:v>
      </x:c>
      <x:c r="O37" s="40" t="n">
        <x:v>-0.1569176356993074</x:v>
      </x:c>
      <x:c r="P37" s="40" t="n">
        <x:v>0.39705882352941174</x:v>
      </x:c>
      <x:c r="Q37" s="40" t="n">
        <x:v>0.2153846153846154</x:v>
      </x:c>
      <x:c r="R37" s="40" t="n">
        <x:v>0.5774647887323944</x:v>
      </x:c>
      <x:c r="S37" s="40" t="n">
        <x:v>0.4225352112676056</x:v>
      </x:c>
      <x:c r="T37" s="40" t="n">
        <x:v>0.27941176470588236</x:v>
      </x:c>
      <x:c r="U37" s="40" t="n">
        <x:v>0.4561862239791626</x:v>
      </x:c>
      <x:c r="V37" s="40" t="n">
        <x:v>0.33320613727614556</x:v>
      </x:c>
      <x:c r="W37" s="64" t="str">
        <x:v>Stage 1 – Downturn Acceleration</x:v>
      </x:c>
      <x:c r="X37" s="64" t="str">
        <x:v>Rev3M -4.0%; Accel3M -15.7ppt; Stock3M -8.9%; EV/EBITDA 5.4x (58th pct); PeakRatio36M 46%; Multiple3M +4.9%; Earnings-Price Gap +4.8%; CycleHeat 33%. Forward EBITDA is being cut, revision momentum is still worsening, the stock is falling, and earnings are already well below the prior peak.</x:v>
      </x:c>
    </x:row>
    <x:row r="38">
      <x:c r="A38" s="32" t="n">
        <x:v>44135</x:v>
      </x:c>
      <x:c r="B38" s="33" t="n">
        <x:v>0.2242</x:v>
      </x:c>
      <x:c r="C38" s="40" t="n">
        <x:f>IFERROR((1+B38)/(1+B37)-1,"")</x:f>
        <x:v>0.07197898423817861</x:v>
      </x:c>
      <x:c r="D38" s="40" t="n">
        <x:f>IFERROR((1+B38)/(1+B35)-1,"")</x:f>
        <x:v>0.005668282264026825</x:v>
      </x:c>
      <x:c r="E38" s="40" t="n">
        <x:f>IFERROR((1+B38)/(1+B32)-1,"")</x:f>
        <x:v>0.051176369568950664</x:v>
      </x:c>
      <x:c r="F38" s="36" t="n">
        <x:v>5.568808967894511</x:v>
      </x:c>
      <x:c r="G38" s="40" t="n">
        <x:f>IFERROR(F38/F35-1,"")</x:f>
        <x:v>0.15371517393527845</x:v>
      </x:c>
      <x:c r="H38" s="38" t="n">
        <x:v>10.105511309437404</x:v>
      </x:c>
      <x:c r="I38" s="40" t="n">
        <x:f>IFERROR(H38/H37-1,"")</x:f>
        <x:v>0.02792143878648945</x:v>
      </x:c>
      <x:c r="J38" s="40" t="n">
        <x:f>IFERROR(H38/H35-1,"")</x:f>
        <x:v>-0.10430468207513188</x:v>
      </x:c>
      <x:c r="K38" s="40" t="n">
        <x:f>IFERROR(H38/H32-1,"")</x:f>
        <x:v>0.04217316427413431</x:v>
      </x:c>
      <x:c r="L38" s="40" t="n">
        <x:f>IFERROR(J38-J37,"")</x:f>
        <x:v>-0.063838120739802</x:v>
      </x:c>
      <x:c r="M38" s="40" t="n">
        <x:f>IFERROR(J38-D38,"")</x:f>
        <x:v>-0.10997296433915871</x:v>
      </x:c>
      <x:c r="N38" s="42" t="str">
        <x:f>IF(J38&lt;0,IF(D38&lt;0,"Down-cycle","Price up / earnings down"),IF(AND(J38&gt;0,L38&lt;0,M38&lt;-0.15),"Late-cycle warning",IF(AND(J38&gt;0,M38&gt;0),"Earnings-led expansion",IF(AND(J38&gt;0,D38&lt;0),"Potential dislocation",IF(AND(J38&gt;0,M38&lt;0),"Price ahead / rerating","Neutral")))))</x:f>
        <x:v>Price up / earnings down</x:v>
      </x:c>
      <x:c r="O38" s="40" t="n">
        <x:v>-0.26784003100229126</x:v>
      </x:c>
      <x:c r="P38" s="40" t="n">
        <x:v>0.3088235294117647</x:v>
      </x:c>
      <x:c r="Q38" s="40" t="n">
        <x:v>0.1076923076923077</x:v>
      </x:c>
      <x:c r="R38" s="40" t="n">
        <x:v>0.647887323943662</x:v>
      </x:c>
      <x:c r="S38" s="40" t="n">
        <x:v>0.352112676056338</x:v>
      </x:c>
      <x:c r="T38" s="40" t="n">
        <x:v>0.4264705882352941</x:v>
      </x:c>
      <x:c r="U38" s="40" t="n">
        <x:v>0.4689235997072365</x:v>
      </x:c>
      <x:c r="V38" s="40" t="n">
        <x:v>0.290727965075521</x:v>
      </x:c>
      <x:c r="W38" s="64" t="str">
        <x:v>Stage 13 – Mixed / Transition</x:v>
      </x:c>
      <x:c r="X38" s="64" t="str">
        <x:v>Rev3M -10.4%; Accel3M -26.8ppt; Stock3M +0.6%; EV/EBITDA 5.6x (65th pct); PeakRatio36M 47%; Multiple3M +15.4%; Earnings-Price Gap -11.0%; CycleHeat 29%. Signals do not fit one dominant state; treat as a transition and require confirmation from the next 1–3 monthly observations.</x:v>
      </x:c>
    </x:row>
    <x:row r="39">
      <x:c r="A39" s="32" t="n">
        <x:v>44165</x:v>
      </x:c>
      <x:c r="B39" s="33" t="n">
        <x:v>0.5586</x:v>
      </x:c>
      <x:c r="C39" s="40" t="n">
        <x:f>IFERROR((1+B39)/(1+B38)-1,"")</x:f>
        <x:v>0.2731579807221043</x:v>
      </x:c>
      <x:c r="D39" s="40" t="n">
        <x:f>IFERROR((1+B39)/(1+B36)-1,"")</x:f>
        <x:v>0.4082038308637512</x:v>
      </x:c>
      <x:c r="E39" s="40" t="n">
        <x:f>IFERROR((1+B39)/(1+B33)-1,"")</x:f>
        <x:v>0.3377392498497982</x:v>
      </x:c>
      <x:c r="F39" s="36" t="n">
        <x:v>6.619087680197544</x:v>
      </x:c>
      <x:c r="G39" s="40" t="n">
        <x:f>IFERROR(F39/F36-1,"")</x:f>
        <x:v>0.3631604482370725</x:v>
      </x:c>
      <x:c r="H39" s="38" t="n">
        <x:v>10.105511309437404</x:v>
      </x:c>
      <x:c r="I39" s="40" t="n">
        <x:f>IFERROR(H39/H38-1,"")</x:f>
        <x:v>0</x:v>
      </x:c>
      <x:c r="J39" s="40" t="n">
        <x:f>IFERROR(H39/H36-1,"")</x:f>
        <x:v>0.04217316427413431</x:v>
      </x:c>
      <x:c r="K39" s="40" t="n">
        <x:f>IFERROR(H39/H33-1,"")</x:f>
        <x:v>0.05662248431688299</x:v>
      </x:c>
      <x:c r="L39" s="40" t="n">
        <x:f>IFERROR(J39-J38,"")</x:f>
        <x:v>0.1464778463492662</x:v>
      </x:c>
      <x:c r="M39" s="40" t="n">
        <x:f>IFERROR(J39-D39,"")</x:f>
        <x:v>-0.3660306665896169</x:v>
      </x:c>
      <x:c r="N39" s="42" t="str">
        <x:f>IF(J39&lt;0,IF(D39&lt;0,"Down-cycle","Price up / earnings down"),IF(AND(J39&gt;0,L39&lt;0,M39&lt;-0.15),"Late-cycle warning",IF(AND(J39&gt;0,M39&gt;0),"Earnings-led expansion",IF(AND(J39&gt;0,D39&lt;0),"Potential dislocation",IF(AND(J39&gt;0,M39&lt;0),"Price ahead / rerating","Neutral")))))</x:f>
        <x:v>Price ahead / rerating</x:v>
      </x:c>
      <x:c r="O39" s="40" t="n">
        <x:v>0.02830855852714942</x:v>
      </x:c>
      <x:c r="P39" s="40" t="n">
        <x:v>0.5441176470588235</x:v>
      </x:c>
      <x:c r="Q39" s="40" t="n">
        <x:v>0.47692307692307695</x:v>
      </x:c>
      <x:c r="R39" s="40" t="n">
        <x:v>0.7183098591549296</x:v>
      </x:c>
      <x:c r="S39" s="40" t="n">
        <x:v>0.2816901408450704</x:v>
      </x:c>
      <x:c r="T39" s="40" t="n">
        <x:v>0.9558823529411765</x:v>
      </x:c>
      <x:c r="U39" s="40" t="n">
        <x:v>0.4689235997072365</x:v>
      </x:c>
      <x:c r="V39" s="40" t="n">
        <x:v>0.5571864444586068</x:v>
      </x:c>
      <x:c r="W39" s="64" t="str">
        <x:v>Stage 5 – Early Recovery</x:v>
      </x:c>
      <x:c r="X39" s="64" t="str">
        <x:v>Rev3M +4.2%; Accel3M +2.8ppt; Stock3M +40.8%; EV/EBITDA 6.6x (72th pct); PeakRatio36M 47%; Multiple3M +36.3%; Earnings-Price Gap -36.6%; CycleHeat 56%. Forward EBITDA revisions have turned positive and are accelerating, but EBITDA remains well below its recent peak.</x:v>
      </x:c>
    </x:row>
    <x:row r="40">
      <x:c r="A40" s="32" t="n">
        <x:v>44196</x:v>
      </x:c>
      <x:c r="B40" s="33" t="n">
        <x:v>0.8283</x:v>
      </x:c>
      <x:c r="C40" s="40" t="n">
        <x:f>IFERROR((1+B40)/(1+B39)-1,"")</x:f>
        <x:v>0.17303990760939314</x:v>
      </x:c>
      <x:c r="D40" s="40" t="n">
        <x:f>IFERROR((1+B40)/(1+B37)-1,"")</x:f>
        <x:v>0.6009632224168129</x:v>
      </x:c>
      <x:c r="E40" s="40" t="n">
        <x:f>IFERROR((1+B40)/(1+B34)-1,"")</x:f>
        <x:v>0.45925452949157974</x:v>
      </x:c>
      <x:c r="F40" s="36" t="n">
        <x:v>7.152121410607792</x:v>
      </x:c>
      <x:c r="G40" s="40" t="n">
        <x:f>IFERROR(F40/F37-1,"")</x:f>
        <x:v>0.3192164145199823</x:v>
      </x:c>
      <x:c r="H40" s="38" t="n">
        <x:v>10.825752710948723</x:v>
      </x:c>
      <x:c r="I40" s="40" t="n">
        <x:f>IFERROR(H40/H39-1,"")</x:f>
        <x:v>0.07127213848533276</x:v>
      </x:c>
      <x:c r="J40" s="40" t="n">
        <x:f>IFERROR(H40/H37-1,"")</x:f>
        <x:v>0.10118359792372278</x:v>
      </x:c>
      <x:c r="K40" s="40" t="n">
        <x:f>IFERROR(H40/H34-1,"")</x:f>
        <x:v>0.056622484316883215</x:v>
      </x:c>
      <x:c r="L40" s="40" t="n">
        <x:f>IFERROR(J40-J39,"")</x:f>
        <x:v>0.05901043364958847</x:v>
      </x:c>
      <x:c r="M40" s="40" t="n">
        <x:f>IFERROR(J40-D40,"")</x:f>
        <x:v>-0.4997796244930901</x:v>
      </x:c>
      <x:c r="N40" s="42" t="str">
        <x:f>IF(J40&lt;0,IF(D40&lt;0,"Down-cycle","Price up / earnings down"),IF(AND(J40&gt;0,L40&lt;0,M40&lt;-0.15),"Late-cycle warning",IF(AND(J40&gt;0,M40&gt;0),"Earnings-led expansion",IF(AND(J40&gt;0,D40&lt;0),"Potential dislocation",IF(AND(J40&gt;0,M40&lt;0),"Price ahead / rerating","Neutral")))))</x:f>
        <x:v>Price ahead / rerating</x:v>
      </x:c>
      <x:c r="O40" s="40" t="n">
        <x:v>0.14165015925905267</x:v>
      </x:c>
      <x:c r="P40" s="40" t="n">
        <x:v>0.7058823529411765</x:v>
      </x:c>
      <x:c r="Q40" s="40" t="n">
        <x:v>0.7692307692307693</x:v>
      </x:c>
      <x:c r="R40" s="40" t="n">
        <x:v>0.7746478873239436</x:v>
      </x:c>
      <x:c r="S40" s="40" t="n">
        <x:v>0.22535211267605637</x:v>
      </x:c>
      <x:c r="T40" s="40" t="n">
        <x:v>1</x:v>
      </x:c>
      <x:c r="U40" s="40" t="n">
        <x:v>0.5023447874446115</x:v>
      </x:c>
      <x:c r="V40" s="40" t="n">
        <x:v>0.6844369383723153</x:v>
      </x:c>
      <x:c r="W40" s="64" t="str">
        <x:v>Stage 5 – Early Recovery</x:v>
      </x:c>
      <x:c r="X40" s="64" t="str">
        <x:v>Rev3M +10.1%; Accel3M +14.2ppt; Stock3M +60.1%; EV/EBITDA 7.2x (77th pct); PeakRatio36M 50%; Multiple3M +31.9%; Earnings-Price Gap -50.0%; CycleHeat 68%. Forward EBITDA revisions have turned positive and are accelerating, but EBITDA remains well below its recent peak.</x:v>
      </x:c>
    </x:row>
    <x:row r="41">
      <x:c r="A41" s="32" t="n">
        <x:v>44227</x:v>
      </x:c>
      <x:c r="B41" s="33" t="n">
        <x:v>0.9035</x:v>
      </x:c>
      <x:c r="C41" s="40" t="n">
        <x:f>IFERROR((1+B41)/(1+B40)-1,"")</x:f>
        <x:v>0.041131105398457546</x:v>
      </x:c>
      <x:c r="D41" s="40" t="n">
        <x:f>IFERROR((1+B41)/(1+B38)-1,"")</x:f>
        <x:v>0.5548929913412841</x:v>
      </x:c>
      <x:c r="E41" s="40" t="n">
        <x:f>IFERROR((1+B41)/(1+B35)-1,"")</x:f>
        <x:v>0.5637065637065637</x:v>
      </x:c>
      <x:c r="F41" s="36" t="n">
        <x:v>7.1308476400436716</x:v>
      </x:c>
      <x:c r="G41" s="40" t="n">
        <x:f>IFERROR(F41/F38-1,"")</x:f>
        <x:v>0.28049780144276437</x:v>
      </x:c>
      <x:c r="H41" s="38" t="n">
        <x:v>11.43873372404283</x:v>
      </x:c>
      <x:c r="I41" s="40" t="n">
        <x:f>IFERROR(H41/H40-1,"")</x:f>
        <x:v>0.05662248431687922</x:v>
      </x:c>
      <x:c r="J41" s="40" t="n">
        <x:f>IFERROR(H41/H38-1,"")</x:f>
        <x:v>0.13193022834582835</x:v>
      </x:c>
      <x:c r="K41" s="40" t="n">
        <x:f>IFERROR(H41/H35-1,"")</x:f>
        <x:v>0.013864605746985115</x:v>
      </x:c>
      <x:c r="L41" s="40" t="n">
        <x:f>IFERROR(J41-J40,"")</x:f>
        <x:v>0.03074663042210557</x:v>
      </x:c>
      <x:c r="M41" s="40" t="n">
        <x:f>IFERROR(J41-D41,"")</x:f>
        <x:v>-0.42296276299545577</x:v>
      </x:c>
      <x:c r="N41" s="42" t="str">
        <x:f>IF(J41&lt;0,IF(D41&lt;0,"Down-cycle","Price up / earnings down"),IF(AND(J41&gt;0,L41&lt;0,M41&lt;-0.15),"Late-cycle warning",IF(AND(J41&gt;0,M41&gt;0),"Earnings-led expansion",IF(AND(J41&gt;0,D41&lt;0),"Potential dislocation",IF(AND(J41&gt;0,M41&lt;0),"Price ahead / rerating","Neutral")))))</x:f>
        <x:v>Price ahead / rerating</x:v>
      </x:c>
      <x:c r="O41" s="40" t="n">
        <x:v>0.23623491042096023</x:v>
      </x:c>
      <x:c r="P41" s="40" t="n">
        <x:v>0.7941176470588235</x:v>
      </x:c>
      <x:c r="Q41" s="40" t="n">
        <x:v>0.8769230769230769</x:v>
      </x:c>
      <x:c r="R41" s="40" t="n">
        <x:v>0.7605633802816901</x:v>
      </x:c>
      <x:c r="S41" s="40" t="n">
        <x:v>0.23943661971830987</x:v>
      </x:c>
      <x:c r="T41" s="40" t="n">
        <x:v>0.9852941176470589</x:v>
      </x:c>
      <x:c r="U41" s="40" t="n">
        <x:v>0.53078879729336</x:v>
      </x:c>
      <x:c r="V41" s="40" t="n">
        <x:v>0.7421180931744311</x:v>
      </x:c>
      <x:c r="W41" s="64" t="str">
        <x:v>Stage 5 – Early Recovery</x:v>
      </x:c>
      <x:c r="X41" s="64" t="str">
        <x:v>Rev3M +13.2%; Accel3M +23.6ppt; Stock3M +55.5%; EV/EBITDA 7.1x (76th pct); PeakRatio36M 53%; Multiple3M +28.0%; Earnings-Price Gap -42.3%; CycleHeat 74%. Forward EBITDA revisions have turned positive and are accelerating, but EBITDA remains well below its recent peak.</x:v>
      </x:c>
    </x:row>
    <x:row r="42">
      <x:c r="A42" s="32" t="n">
        <x:v>44255</x:v>
      </x:c>
      <x:c r="B42" s="33" t="n">
        <x:v>1.2259</x:v>
      </x:c>
      <x:c r="C42" s="40" t="n">
        <x:f>IFERROR((1+B42)/(1+B41)-1,"")</x:f>
        <x:v>0.16937220908852124</x:v>
      </x:c>
      <x:c r="D42" s="40" t="n">
        <x:f>IFERROR((1+B42)/(1+B39)-1,"")</x:f>
        <x:v>0.4281406390350315</x:v>
      </x:c>
      <x:c r="E42" s="40" t="n">
        <x:f>IFERROR((1+B42)/(1+B36)-1,"")</x:f>
        <x:v>1.0111131189013371</x:v>
      </x:c>
      <x:c r="F42" s="36" t="n">
        <x:v>7.9144618462056275</x:v>
      </x:c>
      <x:c r="G42" s="40" t="n">
        <x:f>IFERROR(F42/F39-1,"")</x:f>
        <x:v>0.19570282621931123</x:v>
      </x:c>
      <x:c r="H42" s="38" t="n">
        <x:v>12.683165671534036</x:v>
      </x:c>
      <x:c r="I42" s="40" t="n">
        <x:f>IFERROR(H42/H41-1,"")</x:f>
        <x:v>0.10879105830355695</x:v>
      </x:c>
      <x:c r="J42" s="40" t="n">
        <x:f>IFERROR(H42/H39-1,"")</x:f>
        <x:v>0.2550741158133578</x:v>
      </x:c>
      <x:c r="K42" s="40" t="n">
        <x:f>IFERROR(H42/H36-1,"")</x:f>
        <x:v>0.30800456267576815</x:v>
      </x:c>
      <x:c r="L42" s="40" t="n">
        <x:f>IFERROR(J42-J41,"")</x:f>
        <x:v>0.12314388746752947</x:v>
      </x:c>
      <x:c r="M42" s="40" t="n">
        <x:f>IFERROR(J42-D42,"")</x:f>
        <x:v>-0.1730665232216737</x:v>
      </x:c>
      <x:c r="N42" s="42" t="str">
        <x:f>IF(J42&lt;0,IF(D42&lt;0,"Down-cycle","Price up / earnings down"),IF(AND(J42&gt;0,L42&lt;0,M42&lt;-0.15),"Late-cycle warning",IF(AND(J42&gt;0,M42&gt;0),"Earnings-led expansion",IF(AND(J42&gt;0,D42&lt;0),"Potential dislocation",IF(AND(J42&gt;0,M42&lt;0),"Price ahead / rerating","Neutral")))))</x:f>
        <x:v>Price ahead / rerating</x:v>
      </x:c>
      <x:c r="O42" s="40" t="n">
        <x:v>0.2129009515392235</x:v>
      </x:c>
      <x:c r="P42" s="40" t="n">
        <x:v>0.8676470588235294</x:v>
      </x:c>
      <x:c r="Q42" s="40" t="n">
        <x:v>0.8307692307692308</x:v>
      </x:c>
      <x:c r="R42" s="40" t="n">
        <x:v>0.8169014084507042</x:v>
      </x:c>
      <x:c r="S42" s="40" t="n">
        <x:v>0.18309859154929575</x:v>
      </x:c>
      <x:c r="T42" s="40" t="n">
        <x:v>0.9705882352941176</x:v>
      </x:c>
      <x:c r="U42" s="40" t="n">
        <x:v>0.5885338722865768</x:v>
      </x:c>
      <x:c r="V42" s="40" t="n">
        <x:v>0.7421061436492256</x:v>
      </x:c>
      <x:c r="W42" s="64" t="str">
        <x:v>Stage 5 – Early Recovery</x:v>
      </x:c>
      <x:c r="X42" s="64" t="str">
        <x:v>Rev3M +25.5%; Accel3M +21.3ppt; Stock3M +42.8%; EV/EBITDA 7.9x (82th pct); PeakRatio36M 59%; Multiple3M +19.6%; Earnings-Price Gap -17.3%; CycleHeat 74%. Forward EBITDA revisions have turned positive and are accelerating, but EBITDA remains well below its recent peak.</x:v>
      </x:c>
    </x:row>
    <x:row r="43">
      <x:c r="A43" s="32" t="n">
        <x:v>44286</x:v>
      </x:c>
      <x:c r="B43" s="33" t="n">
        <x:v>1.1452</x:v>
      </x:c>
      <x:c r="C43" s="40" t="n">
        <x:f>IFERROR((1+B43)/(1+B42)-1,"")</x:f>
        <x:v>-0.03625499797834597</x:v>
      </x:c>
      <x:c r="D43" s="40" t="n">
        <x:f>IFERROR((1+B43)/(1+B40)-1,"")</x:f>
        <x:v>0.17333041623365975</x:v>
      </x:c>
      <x:c r="E43" s="40" t="n">
        <x:f>IFERROR((1+B43)/(1+B37)-1,"")</x:f>
        <x:v>0.8784588441331</x:v>
      </x:c>
      <x:c r="F43" s="36" t="n">
        <x:v>6.698429915061057</x:v>
      </x:c>
      <x:c r="G43" s="40" t="n">
        <x:f>IFERROR(F43/F40-1,"")</x:f>
        <x:v>-0.06343453494425233</x:v>
      </x:c>
      <x:c r="H43" s="38" t="n">
        <x:v>15.065279394661353</x:v>
      </x:c>
      <x:c r="I43" s="40" t="n">
        <x:f>IFERROR(H43/H42-1,"")</x:f>
        <x:v>0.187816968162271</x:v>
      </x:c>
      <x:c r="J43" s="40" t="n">
        <x:f>IFERROR(H43/H40-1,"")</x:f>
        <x:v>0.3916149571220988</x:v>
      </x:c>
      <x:c r="K43" s="40" t="n">
        <x:f>IFERROR(H43/H37-1,"")</x:f>
        <x:v>0.5324235654081799</x:v>
      </x:c>
      <x:c r="L43" s="40" t="n">
        <x:f>IFERROR(J43-J42,"")</x:f>
        <x:v>0.136540841308741</x:v>
      </x:c>
      <x:c r="M43" s="40" t="n">
        <x:f>IFERROR(J43-D43,"")</x:f>
        <x:v>0.21828454088843907</x:v>
      </x:c>
      <x:c r="N43" s="42" t="str">
        <x:f>IF(J43&lt;0,IF(D43&lt;0,"Down-cycle","Price up / earnings down"),IF(AND(J43&gt;0,L43&lt;0,M43&lt;-0.15),"Late-cycle warning",IF(AND(J43&gt;0,M43&gt;0),"Earnings-led expansion",IF(AND(J43&gt;0,D43&lt;0),"Potential dislocation",IF(AND(J43&gt;0,M43&lt;0),"Price ahead / rerating","Neutral")))))</x:f>
        <x:v>Earnings-led expansion</x:v>
      </x:c>
      <x:c r="O43" s="40" t="n">
        <x:v>0.29043135919837604</x:v>
      </x:c>
      <x:c r="P43" s="40" t="n">
        <x:v>0.9264705882352942</x:v>
      </x:c>
      <x:c r="Q43" s="40" t="n">
        <x:v>0.8923076923076924</x:v>
      </x:c>
      <x:c r="R43" s="40" t="n">
        <x:v>0.7323943661971831</x:v>
      </x:c>
      <x:c r="S43" s="40" t="n">
        <x:v>0.2676056338028169</x:v>
      </x:c>
      <x:c r="T43" s="40" t="n">
        <x:v>0.7941176470588235</x:v>
      </x:c>
      <x:c r="U43" s="40" t="n">
        <x:v>0.6990705198402428</x:v>
      </x:c>
      <x:c r="V43" s="40" t="n">
        <x:v>0.7596862851316042</x:v>
      </x:c>
      <x:c r="W43" s="64" t="str">
        <x:v>Stage 5 – Early Recovery</x:v>
      </x:c>
      <x:c r="X43" s="64" t="str">
        <x:v>Rev3M +39.2%; Accel3M +29.0ppt; Stock3M +17.3%; EV/EBITDA 6.7x (73th pct); PeakRatio36M 70%; Multiple3M -6.3%; Earnings-Price Gap +21.8%; CycleHeat 76%. Forward EBITDA revisions have turned positive and are accelerating, but EBITDA remains well below its recent peak.</x:v>
      </x:c>
    </x:row>
    <x:row r="44">
      <x:c r="A44" s="32" t="n">
        <x:v>44316</x:v>
      </x:c>
      <x:c r="B44" s="33" t="n">
        <x:v>1.0931</x:v>
      </x:c>
      <x:c r="C44" s="40" t="n">
        <x:f>IFERROR((1+B44)/(1+B43)-1,"")</x:f>
        <x:v>-0.024286779787432544</x:v>
      </x:c>
      <x:c r="D44" s="40" t="n">
        <x:f>IFERROR((1+B44)/(1+B41)-1,"")</x:f>
        <x:v>0.09960598896769102</x:v>
      </x:c>
      <x:c r="E44" s="40" t="n">
        <x:f>IFERROR((1+B44)/(1+B38)-1,"")</x:f>
        <x:v>0.709769645482764</x:v>
      </x:c>
      <x:c r="F44" s="36" t="n">
        <x:v>5.519263865369903</x:v>
      </x:c>
      <x:c r="G44" s="40" t="n">
        <x:f>IFERROR(F44/F41-1,"")</x:f>
        <x:v>-0.22600171200178643</x:v>
      </x:c>
      <x:c r="H44" s="38" t="n">
        <x:v>15.485923671080696</x:v>
      </x:c>
      <x:c r="I44" s="40" t="n">
        <x:f>IFERROR(H44/H43-1,"")</x:f>
        <x:v>0.027921438786485897</x:v>
      </x:c>
      <x:c r="J44" s="40" t="n">
        <x:f>IFERROR(H44/H41-1,"")</x:f>
        <x:v>0.3538145082030508</x:v>
      </x:c>
      <x:c r="K44" s="40" t="n">
        <x:f>IFERROR(H44/H38-1,"")</x:f>
        <x:v>0.5324235654081746</x:v>
      </x:c>
      <x:c r="L44" s="40" t="n">
        <x:f>IFERROR(J44-J43,"")</x:f>
        <x:v>-0.03780044891904799</x:v>
      </x:c>
      <x:c r="M44" s="40" t="n">
        <x:f>IFERROR(J44-D44,"")</x:f>
        <x:v>0.2542085192353598</x:v>
      </x:c>
      <x:c r="N44" s="42" t="str">
        <x:f>IF(J44&lt;0,IF(D44&lt;0,"Down-cycle","Price up / earnings down"),IF(AND(J44&gt;0,L44&lt;0,M44&lt;-0.15),"Late-cycle warning",IF(AND(J44&gt;0,M44&gt;0),"Earnings-led expansion",IF(AND(J44&gt;0,D44&lt;0),"Potential dislocation",IF(AND(J44&gt;0,M44&lt;0),"Price ahead / rerating","Neutral")))))</x:f>
        <x:v>Earnings-led expansion</x:v>
      </x:c>
      <x:c r="O44" s="40" t="n">
        <x:v>0.22188427985722248</x:v>
      </x:c>
      <x:c r="P44" s="40" t="n">
        <x:v>0.9117647058823529</x:v>
      </x:c>
      <x:c r="Q44" s="40" t="n">
        <x:v>0.8461538461538461</x:v>
      </x:c>
      <x:c r="R44" s="40" t="n">
        <x:v>0.6338028169014085</x:v>
      </x:c>
      <x:c r="S44" s="40" t="n">
        <x:v>0.3661971830985915</x:v>
      </x:c>
      <x:c r="T44" s="40" t="n">
        <x:v>0.6617647058823529</x:v>
      </x:c>
      <x:c r="U44" s="40" t="n">
        <x:v>0.718589574567399</x:v>
      </x:c>
      <x:c r="V44" s="40" t="n">
        <x:v>0.736248486393474</x:v>
      </x:c>
      <x:c r="W44" s="64" t="str">
        <x:v>Stage 6 – Broad Recovery</x:v>
      </x:c>
      <x:c r="X44" s="64" t="str">
        <x:v>Rev3M +35.4%; Accel3M +22.2ppt; Stock3M +10.0%; EV/EBITDA 5.5x (63th pct); PeakRatio36M 72%; Multiple3M -22.6%; Earnings-Price Gap +25.4%; CycleHeat 74%. Forward EBITDA revisions are positive and non-decelerating, with earnings recovering toward normal cycle levels.</x:v>
      </x:c>
    </x:row>
    <x:row r="45">
      <x:c r="A45" s="32" t="n">
        <x:v>44347</x:v>
      </x:c>
      <x:c r="B45" s="33" t="n">
        <x:v>1.0462</x:v>
      </x:c>
      <x:c r="C45" s="40" t="n">
        <x:f>IFERROR((1+B45)/(1+B44)-1,"")</x:f>
        <x:v>-0.022406956189384153</x:v>
      </x:c>
      <x:c r="D45" s="40" t="n">
        <x:f>IFERROR((1+B45)/(1+B42)-1,"")</x:f>
        <x:v>-0.08073138955029446</x:v>
      </x:c>
      <x:c r="E45" s="40" t="n">
        <x:f>IFERROR((1+B45)/(1+B39)-1,"")</x:f>
        <x:v>0.3128448607724881</x:v>
      </x:c>
      <x:c r="F45" s="36" t="n">
        <x:v>5.002514621434732</x:v>
      </x:c>
      <x:c r="G45" s="40" t="n">
        <x:f>IFERROR(F45/F42-1,"")</x:f>
        <x:v>-0.36792738171666706</x:v>
      </x:c>
      <x:c r="H45" s="38" t="n">
        <x:v>18.018419602090265</x:v>
      </x:c>
      <x:c r="I45" s="40" t="n">
        <x:f>IFERROR(H45/H44-1,"")</x:f>
        <x:v>0.16353534892716137</x:v>
      </x:c>
      <x:c r="J45" s="40" t="n">
        <x:f>IFERROR(H45/H42-1,"")</x:f>
        <x:v>0.42065633050356</x:v>
      </x:c>
      <x:c r="K45" s="40" t="n">
        <x:f>IFERROR(H45/H39-1,"")</x:f>
        <x:v>0.783028987881405</x:v>
      </x:c>
      <x:c r="L45" s="40" t="n">
        <x:f>IFERROR(J45-J44,"")</x:f>
        <x:v>0.06684182230050917</x:v>
      </x:c>
      <x:c r="M45" s="40" t="n">
        <x:f>IFERROR(J45-D45,"")</x:f>
        <x:v>0.5013877200538545</x:v>
      </x:c>
      <x:c r="N45" s="42" t="str">
        <x:f>IF(J45&lt;0,IF(D45&lt;0,"Down-cycle","Price up / earnings down"),IF(AND(J45&gt;0,L45&lt;0,M45&lt;-0.15),"Late-cycle warning",IF(AND(J45&gt;0,M45&gt;0),"Earnings-led expansion",IF(AND(J45&gt;0,D45&lt;0),"Potential dislocation",IF(AND(J45&gt;0,M45&lt;0),"Price ahead / rerating","Neutral")))))</x:f>
        <x:v>Earnings-led expansion</x:v>
      </x:c>
      <x:c r="O45" s="40" t="n">
        <x:v>0.16558221469020218</x:v>
      </x:c>
      <x:c r="P45" s="40" t="n">
        <x:v>0.9411764705882353</x:v>
      </x:c>
      <x:c r="Q45" s="40" t="n">
        <x:v>0.8</x:v>
      </x:c>
      <x:c r="R45" s="40" t="n">
        <x:v>0.49295774647887325</x:v>
      </x:c>
      <x:c r="S45" s="40" t="n">
        <x:v>0.5070422535211268</x:v>
      </x:c>
      <x:c r="T45" s="40" t="n">
        <x:v>0.3235294117647059</x:v>
      </x:c>
      <x:c r="U45" s="40" t="n">
        <x:v>0.8361043713796991</x:v>
      </x:c>
      <x:c r="V45" s="40" t="n">
        <x:v>0.6955260977630489</x:v>
      </x:c>
      <x:c r="W45" s="64" t="str">
        <x:v>Stage 7 – Earnings Acceleration</x:v>
      </x:c>
      <x:c r="X45" s="64" t="str">
        <x:v>Rev3M +42.1%; Accel3M +16.6ppt; Stock3M -8.1%; EV/EBITDA 5.0x (49th pct); PeakRatio36M 84%; Multiple3M -36.8%; Earnings-Price Gap +50.1%; CycleHeat 70%. EBITDA revision strength is in a high historical percentile and revision momentum is still accelerating.</x:v>
      </x:c>
    </x:row>
    <x:row r="46">
      <x:c r="A46" s="32" t="n">
        <x:v>44377</x:v>
      </x:c>
      <x:c r="B46" s="33" t="n">
        <x:v>1.0666</x:v>
      </x:c>
      <x:c r="C46" s="40" t="n">
        <x:f>IFERROR((1+B46)/(1+B45)-1,"")</x:f>
        <x:v>0.009969699931580589</x:v>
      </x:c>
      <x:c r="D46" s="40" t="n">
        <x:f>IFERROR((1+B46)/(1+B43)-1,"")</x:f>
        <x:v>-0.03663994033190365</x:v>
      </x:c>
      <x:c r="E46" s="40" t="n">
        <x:f>IFERROR((1+B46)/(1+B40)-1,"")</x:f>
        <x:v>0.13033965979325068</x:v>
      </x:c>
      <x:c r="F46" s="36" t="n">
        <x:v>4.7981770998847475</x:v>
      </x:c>
      <x:c r="G46" s="40" t="n">
        <x:f>IFERROR(F46/F43-1,"")</x:f>
        <x:v>-0.2836863025025751</x:v>
      </x:c>
      <x:c r="H46" s="38" t="n">
        <x:v>20.11668392309463</x:v>
      </x:c>
      <x:c r="I46" s="40" t="n">
        <x:f>IFERROR(H46/H45-1,"")</x:f>
        <x:v>0.1164510743639775</x:v>
      </x:c>
      <x:c r="J46" s="40" t="n">
        <x:f>IFERROR(H46/H43-1,"")</x:f>
        <x:v>0.33530108510455725</x:v>
      </x:c>
      <x:c r="K46" s="40" t="n">
        <x:f>IFERROR(H46/H40-1,"")</x:f>
        <x:v>0.8582249622928704</x:v>
      </x:c>
      <x:c r="L46" s="40" t="n">
        <x:f>IFERROR(J46-J45,"")</x:f>
        <x:v>-0.08535524539900274</x:v>
      </x:c>
      <x:c r="M46" s="40" t="n">
        <x:f>IFERROR(J46-D46,"")</x:f>
        <x:v>0.3719410254364609</x:v>
      </x:c>
      <x:c r="N46" s="42" t="str">
        <x:f>IF(J46&lt;0,IF(D46&lt;0,"Down-cycle","Price up / earnings down"),IF(AND(J46&gt;0,L46&lt;0,M46&lt;-0.15),"Late-cycle warning",IF(AND(J46&gt;0,M46&gt;0),"Earnings-led expansion",IF(AND(J46&gt;0,D46&lt;0),"Potential dislocation",IF(AND(J46&gt;0,M46&lt;0),"Price ahead / rerating","Neutral")))))</x:f>
        <x:v>Earnings-led expansion</x:v>
      </x:c>
      <x:c r="O46" s="40" t="n">
        <x:v>-0.056313872017541566</x:v>
      </x:c>
      <x:c r="P46" s="40" t="n">
        <x:v>0.8970588235294118</x:v>
      </x:c>
      <x:c r="Q46" s="40" t="n">
        <x:v>0.38461538461538464</x:v>
      </x:c>
      <x:c r="R46" s="40" t="n">
        <x:v>0.39436619718309857</x:v>
      </x:c>
      <x:c r="S46" s="40" t="n">
        <x:v>0.6056338028169015</x:v>
      </x:c>
      <x:c r="T46" s="40" t="n">
        <x:v>0.38235294117647056</x:v>
      </x:c>
      <x:c r="U46" s="40" t="n">
        <x:v>0.9334696237072831</x:v>
      </x:c>
      <x:c r="V46" s="40" t="n">
        <x:v>0.6077217831878148</x:v>
      </x:c>
      <x:c r="W46" s="64" t="str">
        <x:v>Stage 10 – Price-Led Roll-over</x:v>
      </x:c>
      <x:c r="X46" s="64" t="str">
        <x:v>Rev3M +33.5%; Accel3M -5.6ppt; Stock3M -3.7%; EV/EBITDA 4.8x (39th pct); PeakRatio36M 93%; Multiple3M -28.4%; Earnings-Price Gap +37.2%; CycleHeat 61%. The stock has turned negative before forward EBITDA revisions have turned negative; price may be leading a future earnings slowdown.</x:v>
      </x:c>
    </x:row>
    <x:row r="47">
      <x:c r="A47" s="32" t="n">
        <x:v>44408</x:v>
      </x:c>
      <x:c r="B47" s="33" t="n">
        <x:v>0.8867</x:v>
      </x:c>
      <x:c r="C47" s="40" t="n">
        <x:f>IFERROR((1+B47)/(1+B46)-1,"")</x:f>
        <x:v>-0.08705119519984528</x:v>
      </x:c>
      <x:c r="D47" s="40" t="n">
        <x:f>IFERROR((1+B47)/(1+B44)-1,"")</x:f>
        <x:v>-0.09860971764368631</x:v>
      </x:c>
      <x:c r="E47" s="40" t="n">
        <x:f>IFERROR((1+B47)/(1+B41)-1,"")</x:f>
        <x:v>-0.008825847123719477</x:v>
      </x:c>
      <x:c r="F47" s="36" t="n">
        <x:v>4.158892253725285</x:v>
      </x:c>
      <x:c r="G47" s="40" t="n">
        <x:f>IFERROR(F47/F44-1,"")</x:f>
        <x:v>-0.24647700215605572</x:v>
      </x:c>
      <x:c r="H47" s="38" t="n">
        <x:v>20.11668392309463</x:v>
      </x:c>
      <x:c r="I47" s="40" t="n">
        <x:f>IFERROR(H47/H46-1,"")</x:f>
        <x:v>0</x:v>
      </x:c>
      <x:c r="J47" s="40" t="n">
        <x:f>IFERROR(H47/H44-1,"")</x:f>
        <x:v>0.2990302903701949</x:v>
      </x:c>
      <x:c r="K47" s="40" t="n">
        <x:f>IFERROR(H47/H41-1,"")</x:f>
        <x:v>0.7586460536983917</x:v>
      </x:c>
      <x:c r="L47" s="40" t="n">
        <x:f>IFERROR(J47-J46,"")</x:f>
        <x:v>-0.036270794734362344</x:v>
      </x:c>
      <x:c r="M47" s="40" t="n">
        <x:f>IFERROR(J47-D47,"")</x:f>
        <x:v>0.3976400080138812</x:v>
      </x:c>
      <x:c r="N47" s="42" t="str">
        <x:f>IF(J47&lt;0,IF(D47&lt;0,"Down-cycle","Price up / earnings down"),IF(AND(J47&gt;0,L47&lt;0,M47&lt;-0.15),"Late-cycle warning",IF(AND(J47&gt;0,M47&gt;0),"Earnings-led expansion",IF(AND(J47&gt;0,D47&lt;0),"Potential dislocation",IF(AND(J47&gt;0,M47&lt;0),"Price ahead / rerating","Neutral")))))</x:f>
        <x:v>Earnings-led expansion</x:v>
      </x:c>
      <x:c r="O47" s="40" t="n">
        <x:v>-0.05478421783285592</x:v>
      </x:c>
      <x:c r="P47" s="40" t="n">
        <x:v>0.8823529411764706</x:v>
      </x:c>
      <x:c r="Q47" s="40" t="n">
        <x:v>0.4</x:v>
      </x:c>
      <x:c r="R47" s="40" t="n">
        <x:v>0.29577464788732394</x:v>
      </x:c>
      <x:c r="S47" s="40" t="n">
        <x:v>0.704225352112676</x:v>
      </x:c>
      <x:c r="T47" s="40" t="n">
        <x:v>0.22058823529411764</x:v>
      </x:c>
      <x:c r="U47" s="40" t="n">
        <x:v>0.9334696237072831</x:v>
      </x:c>
      <x:c r="V47" s="40" t="n">
        <x:v>0.5937862468931234</x:v>
      </x:c>
      <x:c r="W47" s="64" t="str">
        <x:v>Stage 10 – Price-Led Roll-over</x:v>
      </x:c>
      <x:c r="X47" s="64" t="str">
        <x:v>Rev3M +29.9%; Accel3M -5.5ppt; Stock3M -9.9%; EV/EBITDA 4.2x (30th pct); PeakRatio36M 93%; Multiple3M -24.6%; Earnings-Price Gap +39.8%; CycleHeat 59%. The stock has turned negative before forward EBITDA revisions have turned negative; price may be leading a future earnings slowdown.</x:v>
      </x:c>
    </x:row>
    <x:row r="48">
      <x:c r="A48" s="32" t="n">
        <x:v>44439</x:v>
      </x:c>
      <x:c r="B48" s="33" t="n">
        <x:v>0.7923</x:v>
      </x:c>
      <x:c r="C48" s="40" t="n">
        <x:f>IFERROR((1+B48)/(1+B47)-1,"")</x:f>
        <x:v>-0.0500344516881327</x:v>
      </x:c>
      <x:c r="D48" s="40" t="n">
        <x:f>IFERROR((1+B48)/(1+B45)-1,"")</x:f>
        <x:v>-0.1240836672857002</x:v>
      </x:c>
      <x:c r="E48" s="40" t="n">
        <x:f>IFERROR((1+B48)/(1+B42)-1,"")</x:f>
        <x:v>-0.19479760995552364</x:v>
      </x:c>
      <x:c r="F48" s="36" t="n">
        <x:v>3.9890141424493355</x:v>
      </x:c>
      <x:c r="G48" s="40" t="n">
        <x:f>IFERROR(F48/F45-1,"")</x:f>
        <x:v>-0.20259820423967545</x:v>
      </x:c>
      <x:c r="H48" s="38" t="n">
        <x:v>19.302630899257274</x:v>
      </x:c>
      <x:c r="I48" s="40" t="n">
        <x:f>IFERROR(H48/H47-1,"")</x:f>
        <x:v>-0.04046656133533</x:v>
      </x:c>
      <x:c r="J48" s="40" t="n">
        <x:f>IFERROR(H48/H45-1,"")</x:f>
        <x:v>0.07127213848533254</x:v>
      </x:c>
      <x:c r="K48" s="40" t="n">
        <x:f>IFERROR(H48/H42-1,"")</x:f>
        <x:v>0.5219095452312743</x:v>
      </x:c>
      <x:c r="L48" s="40" t="n">
        <x:f>IFERROR(J48-J47,"")</x:f>
        <x:v>-0.22775815188486237</x:v>
      </x:c>
      <x:c r="M48" s="40" t="n">
        <x:f>IFERROR(J48-D48,"")</x:f>
        <x:v>0.19535580577103273</x:v>
      </x:c>
      <x:c r="N48" s="42" t="str">
        <x:f>IF(J48&lt;0,IF(D48&lt;0,"Down-cycle","Price up / earnings down"),IF(AND(J48&gt;0,L48&lt;0,M48&lt;-0.15),"Late-cycle warning",IF(AND(J48&gt;0,M48&gt;0),"Earnings-led expansion",IF(AND(J48&gt;0,D48&lt;0),"Potential dislocation",IF(AND(J48&gt;0,M48&lt;0),"Price ahead / rerating","Neutral")))))</x:f>
        <x:v>Earnings-led expansion</x:v>
      </x:c>
      <x:c r="O48" s="40" t="n">
        <x:v>-0.34938419201822746</x:v>
      </x:c>
      <x:c r="P48" s="40" t="n">
        <x:v>0.5882352941176471</x:v>
      </x:c>
      <x:c r="Q48" s="40" t="n">
        <x:v>0.07692307692307693</x:v>
      </x:c>
      <x:c r="R48" s="40" t="n">
        <x:v>0.2676056338028169</x:v>
      </x:c>
      <x:c r="S48" s="40" t="n">
        <x:v>0.7323943661971831</x:v>
      </x:c>
      <x:c r="T48" s="40" t="n">
        <x:v>0.19117647058823528</x:v>
      </x:c>
      <x:c r="U48" s="40" t="n">
        <x:v>0.9399184422253986</x:v>
      </x:c>
      <x:c r="V48" s="40" t="n">
        <x:v>0.40982728952902936</x:v>
      </x:c>
      <x:c r="W48" s="64" t="str">
        <x:v>Stage 10 – Price-Led Roll-over</x:v>
      </x:c>
      <x:c r="X48" s="64" t="str">
        <x:v>Rev3M +7.1%; Accel3M -34.9ppt; Stock3M -12.4%; EV/EBITDA 4.0x (27th pct); PeakRatio36M 94%; Multiple3M -20.3%; Earnings-Price Gap +19.5%; CycleHeat 41%. The stock has turned negative before forward EBITDA revisions have turned negative; price may be leading a future earnings slowdown.</x:v>
      </x:c>
    </x:row>
    <x:row r="49">
      <x:c r="A49" s="32" t="n">
        <x:v>44469</x:v>
      </x:c>
      <x:c r="B49" s="33" t="n">
        <x:v>0.7262</x:v>
      </x:c>
      <x:c r="C49" s="40" t="n">
        <x:f>IFERROR((1+B49)/(1+B48)-1,"")</x:f>
        <x:v>-0.03687998660938463</x:v>
      </x:c>
      <x:c r="D49" s="40" t="n">
        <x:f>IFERROR((1+B49)/(1+B46)-1,"")</x:f>
        <x:v>-0.16471499080615515</x:v>
      </x:c>
      <x:c r="E49" s="40" t="n">
        <x:f>IFERROR((1+B49)/(1+B43)-1,"")</x:f>
        <x:v>-0.19531978370315128</x:v>
      </x:c>
      <x:c r="F49" s="36" t="n">
        <x:v>4.3231075610817715</x:v>
      </x:c>
      <x:c r="G49" s="40" t="n">
        <x:f>IFERROR(F49/F46-1,"")</x:f>
        <x:v>-0.09901042185674791</x:v>
      </x:c>
      <x:c r="H49" s="38" t="n">
        <x:v>18.52151980203928</x:v>
      </x:c>
      <x:c r="I49" s="40" t="n">
        <x:f>IFERROR(H49/H48-1,"")</x:f>
        <x:v>-0.04046656133532811</x:v>
      </x:c>
      <x:c r="J49" s="40" t="n">
        <x:f>IFERROR(H49/H46-1,"")</x:f>
        <x:v>-0.07929558008435222</x:v>
      </x:c>
      <x:c r="K49" s="40" t="n">
        <x:f>IFERROR(H49/H43-1,"")</x:f>
        <x:v>0.22941761097392632</x:v>
      </x:c>
      <x:c r="L49" s="40" t="n">
        <x:f>IFERROR(J49-J48,"")</x:f>
        <x:v>-0.15056771856968476</x:v>
      </x:c>
      <x:c r="M49" s="40" t="n">
        <x:f>IFERROR(J49-D49,"")</x:f>
        <x:v>0.08541941072180292</x:v>
      </x:c>
      <x:c r="N49" s="42" t="str">
        <x:f>IF(J49&lt;0,IF(D49&lt;0,"Down-cycle","Price up / earnings down"),IF(AND(J49&gt;0,L49&lt;0,M49&lt;-0.15),"Late-cycle warning",IF(AND(J49&gt;0,M49&gt;0),"Earnings-led expansion",IF(AND(J49&gt;0,D49&lt;0),"Potential dislocation",IF(AND(J49&gt;0,M49&lt;0),"Price ahead / rerating","Neutral")))))</x:f>
        <x:v>Down-cycle</x:v>
      </x:c>
      <x:c r="O49" s="40" t="n">
        <x:v>-0.4145966651889095</x:v>
      </x:c>
      <x:c r="P49" s="40" t="n">
        <x:v>0.3382352941176471</x:v>
      </x:c>
      <x:c r="Q49" s="40" t="n">
        <x:v>0.046153846153846156</x:v>
      </x:c>
      <x:c r="R49" s="40" t="n">
        <x:v>0.3380281690140845</x:v>
      </x:c>
      <x:c r="S49" s="40" t="n">
        <x:v>0.6619718309859155</x:v>
      </x:c>
      <x:c r="T49" s="40" t="n">
        <x:v>0.1323529411764706</x:v>
      </x:c>
      <x:c r="U49" s="40" t="n">
        <x:v>0.9207044199156478</x:v>
      </x:c>
      <x:c r="V49" s="40" t="n">
        <x:v>0.28878576891211527</x:v>
      </x:c>
      <x:c r="W49" s="64" t="str">
        <x:v>Stage 11 – Earnings Peak / Roll-over</x:v>
      </x:c>
      <x:c r="X49" s="64" t="str">
        <x:v>Rev3M -7.9%; Accel3M -41.5ppt; Stock3M -16.5%; EV/EBITDA 4.3x (34th pct); PeakRatio36M 92%; Multiple3M -9.9%; Earnings-Price Gap +8.5%; CycleHeat 29%. Forward EBITDA revisions have stalled/turned negative, acceleration is negative, stock performance is negative, and earnings are still near peak.</x:v>
      </x:c>
    </x:row>
    <x:row r="50">
      <x:c r="A50" s="32" t="n">
        <x:v>44500</x:v>
      </x:c>
      <x:c r="B50" s="33" t="n">
        <x:v>0.6804</x:v>
      </x:c>
      <x:c r="C50" s="40" t="n">
        <x:f>IFERROR((1+B50)/(1+B49)-1,"")</x:f>
        <x:v>-0.02653226740817971</x:v>
      </x:c>
      <x:c r="D50" s="40" t="n">
        <x:f>IFERROR((1+B50)/(1+B47)-1,"")</x:f>
        <x:v>-0.1093443578735358</x:v>
      </x:c>
      <x:c r="E50" s="40" t="n">
        <x:f>IFERROR((1+B50)/(1+B44)-1,"")</x:f>
        <x:v>-0.19717165926138247</x:v>
      </x:c>
      <x:c r="F50" s="36" t="n">
        <x:v>4.085219003453668</x:v>
      </x:c>
      <x:c r="G50" s="40" t="n">
        <x:f>IFERROR(F50/F47-1,"")</x:f>
        <x:v>-0.017714633074618624</x:v>
      </x:c>
      <x:c r="H50" s="38" t="n">
        <x:v>18.52151980203928</x:v>
      </x:c>
      <x:c r="I50" s="40" t="n">
        <x:f>IFERROR(H50/H49-1,"")</x:f>
        <x:v>0</x:v>
      </x:c>
      <x:c r="J50" s="40" t="n">
        <x:f>IFERROR(H50/H47-1,"")</x:f>
        <x:v>-0.07929558008435222</x:v>
      </x:c>
      <x:c r="K50" s="40" t="n">
        <x:f>IFERROR(H50/H44-1,"")</x:f>
        <x:v>0.19602292994814574</x:v>
      </x:c>
      <x:c r="L50" s="40" t="n">
        <x:f>IFERROR(J50-J49,"")</x:f>
        <x:v>0</x:v>
      </x:c>
      <x:c r="M50" s="40" t="n">
        <x:f>IFERROR(J50-D50,"")</x:f>
        <x:v>0.03004877778918358</x:v>
      </x:c>
      <x:c r="N50" s="42" t="str">
        <x:f>IF(J50&lt;0,IF(D50&lt;0,"Down-cycle","Price up / earnings down"),IF(AND(J50&gt;0,L50&lt;0,M50&lt;-0.15),"Late-cycle warning",IF(AND(J50&gt;0,M50&gt;0),"Earnings-led expansion",IF(AND(J50&gt;0,D50&lt;0),"Potential dislocation",IF(AND(J50&gt;0,M50&lt;0),"Price ahead / rerating","Neutral")))))</x:f>
        <x:v>Down-cycle</x:v>
      </x:c>
      <x:c r="O50" s="40" t="n">
        <x:v>-0.37832587045454713</x:v>
      </x:c>
      <x:c r="P50" s="40" t="n">
        <x:v>0.3382352941176471</x:v>
      </x:c>
      <x:c r="Q50" s="40" t="n">
        <x:v>0.06153846153846154</x:v>
      </x:c>
      <x:c r="R50" s="40" t="n">
        <x:v>0.28169014084507044</x:v>
      </x:c>
      <x:c r="S50" s="40" t="n">
        <x:v>0.7183098591549295</x:v>
      </x:c>
      <x:c r="T50" s="40" t="n">
        <x:v>0.20588235294117646</x:v>
      </x:c>
      <x:c r="U50" s="40" t="n">
        <x:v>0.9207044199156478</x:v>
      </x:c>
      <x:c r="V50" s="40" t="n">
        <x:v>0.3186054107450131</x:v>
      </x:c>
      <x:c r="W50" s="64" t="str">
        <x:v>Stage 11 – Earnings Peak / Roll-over</x:v>
      </x:c>
      <x:c r="X50" s="64" t="str">
        <x:v>Rev3M -7.9%; Accel3M -37.8ppt; Stock3M -10.9%; EV/EBITDA 4.1x (28th pct); PeakRatio36M 92%; Multiple3M -1.8%; Earnings-Price Gap +3.0%; CycleHeat 32%. Forward EBITDA revisions have stalled/turned negative, acceleration is negative, stock performance is negative, and earnings are still near peak.</x:v>
      </x:c>
    </x:row>
    <x:row r="51">
      <x:c r="A51" s="32" t="n">
        <x:v>44530</x:v>
      </x:c>
      <x:c r="B51" s="33" t="n">
        <x:v>1.0428</x:v>
      </x:c>
      <x:c r="C51" s="40" t="n">
        <x:f>IFERROR((1+B51)/(1+B50)-1,"")</x:f>
        <x:v>0.21566293739585785</x:v>
      </x:c>
      <x:c r="D51" s="40" t="n">
        <x:f>IFERROR((1+B51)/(1+B48)-1,"")</x:f>
        <x:v>0.13976454834570085</x:v>
      </x:c>
      <x:c r="E51" s="40" t="n">
        <x:f>IFERROR((1+B51)/(1+B45)-1,"")</x:f>
        <x:v>-0.0016616166552634315</x:v>
      </x:c>
      <x:c r="F51" s="36" t="n">
        <x:v>4.928556754670091</x:v>
      </x:c>
      <x:c r="G51" s="40" t="n">
        <x:f>IFERROR(F51/F48-1,"")</x:f>
        <x:v>0.23553253477408265</x:v>
      </x:c>
      <x:c r="H51" s="38" t="n">
        <x:v>18.649474602977172</x:v>
      </x:c>
      <x:c r="I51" s="40" t="n">
        <x:f>IFERROR(H51/H50-1,"")</x:f>
        <x:v>0.006908439604605521</x:v>
      </x:c>
      <x:c r="J51" s="40" t="n">
        <x:f>IFERROR(H51/H48-1,"")</x:f>
        <x:v>-0.03383768252571384</x:v>
      </x:c>
      <x:c r="K51" s="40" t="n">
        <x:f>IFERROR(H51/H45-1,"")</x:f>
        <x:v>0.03502277196462322</x:v>
      </x:c>
      <x:c r="L51" s="40" t="n">
        <x:f>IFERROR(J51-J50,"")</x:f>
        <x:v>0.04545789755863838</x:v>
      </x:c>
      <x:c r="M51" s="40" t="n">
        <x:f>IFERROR(J51-D51,"")</x:f>
        <x:v>-0.1736022308714147</x:v>
      </x:c>
      <x:c r="N51" s="42" t="str">
        <x:f>IF(J51&lt;0,IF(D51&lt;0,"Down-cycle","Price up / earnings down"),IF(AND(J51&gt;0,L51&lt;0,M51&lt;-0.15),"Late-cycle warning",IF(AND(J51&gt;0,M51&gt;0),"Earnings-led expansion",IF(AND(J51&gt;0,D51&lt;0),"Potential dislocation",IF(AND(J51&gt;0,M51&lt;0),"Price ahead / rerating","Neutral")))))</x:f>
        <x:v>Price up / earnings down</x:v>
      </x:c>
      <x:c r="O51" s="40" t="n">
        <x:v>-0.10510982101104638</x:v>
      </x:c>
      <x:c r="P51" s="40" t="n">
        <x:v>0.4117647058823529</x:v>
      </x:c>
      <x:c r="Q51" s="40" t="n">
        <x:v>0.3076923076923077</x:v>
      </x:c>
      <x:c r="R51" s="40" t="n">
        <x:v>0.4507042253521127</x:v>
      </x:c>
      <x:c r="S51" s="40" t="n">
        <x:v>0.5492957746478873</x:v>
      </x:c>
      <x:c r="T51" s="40" t="n">
        <x:v>0.7647058823529411</x:v>
      </x:c>
      <x:c r="U51" s="40" t="n">
        <x:v>0.9270650507943283</x:v>
      </x:c>
      <x:c r="V51" s="40" t="n">
        <x:v>0.4838410553820661</x:v>
      </x:c>
      <x:c r="W51" s="64" t="str">
        <x:v>Stage 13 – Mixed / Transition</x:v>
      </x:c>
      <x:c r="X51" s="64" t="str">
        <x:v>Rev3M -3.4%; Accel3M -10.5ppt; Stock3M +14.0%; EV/EBITDA 4.9x (45th pct); PeakRatio36M 93%; Multiple3M +23.6%; Earnings-Price Gap -17.4%; CycleHeat 48%. Signals do not fit one dominant state; treat as a transition and require confirmation from the next 1–3 monthly observations.</x:v>
      </x:c>
    </x:row>
    <x:row r="52">
      <x:c r="A52" s="32" t="n">
        <x:v>44561</x:v>
      </x:c>
      <x:c r="B52" s="33" t="n">
        <x:v>1.2653</x:v>
      </x:c>
      <x:c r="C52" s="40" t="n">
        <x:f>IFERROR((1+B52)/(1+B51)-1,"")</x:f>
        <x:v>0.10891913060505187</x:v>
      </x:c>
      <x:c r="D52" s="40" t="n">
        <x:f>IFERROR((1+B52)/(1+B49)-1,"")</x:f>
        <x:v>0.31230448383733056</x:v>
      </x:c>
      <x:c r="E52" s="40" t="n">
        <x:f>IFERROR((1+B52)/(1+B46)-1,"")</x:f>
        <x:v>0.09614826284718836</x:v>
      </x:c>
      <x:c r="F52" s="36" t="n">
        <x:v>5.092730473113873</x:v>
      </x:c>
      <x:c r="G52" s="40" t="n">
        <x:f>IFERROR(F52/F49-1,"")</x:f>
        <x:v>0.17802539056870437</x:v>
      </x:c>
      <x:c r="H52" s="38" t="n">
        <x:v>19.038667283424605</x:v>
      </x:c>
      <x:c r="I52" s="40" t="n">
        <x:f>IFERROR(H52/H51-1,"")</x:f>
        <x:v>0.020868828143035367</x:v>
      </x:c>
      <x:c r="J52" s="40" t="n">
        <x:f>IFERROR(H52/H49-1,"")</x:f>
        <x:v>0.027921438786485897</x:v>
      </x:c>
      <x:c r="K52" s="40" t="n">
        <x:f>IFERROR(H52/H46-1,"")</x:f>
        <x:v>-0.053588187983230506</x:v>
      </x:c>
      <x:c r="L52" s="40" t="n">
        <x:f>IFERROR(J52-J51,"")</x:f>
        <x:v>0.06175912131219974</x:v>
      </x:c>
      <x:c r="M52" s="40" t="n">
        <x:f>IFERROR(J52-D52,"")</x:f>
        <x:v>-0.28438304505084466</x:v>
      </x:c>
      <x:c r="N52" s="42" t="str">
        <x:f>IF(J52&lt;0,IF(D52&lt;0,"Down-cycle","Price up / earnings down"),IF(AND(J52&gt;0,L52&lt;0,M52&lt;-0.15),"Late-cycle warning",IF(AND(J52&gt;0,M52&gt;0),"Earnings-led expansion",IF(AND(J52&gt;0,D52&lt;0),"Potential dislocation",IF(AND(J52&gt;0,M52&lt;0),"Price ahead / rerating","Neutral")))))</x:f>
        <x:v>Price ahead / rerating</x:v>
      </x:c>
      <x:c r="O52" s="40" t="n">
        <x:v>0.10721701887083812</x:v>
      </x:c>
      <x:c r="P52" s="40" t="n">
        <x:v>0.5147058823529411</x:v>
      </x:c>
      <x:c r="Q52" s="40" t="n">
        <x:v>0.6461538461538462</x:v>
      </x:c>
      <x:c r="R52" s="40" t="n">
        <x:v>0.5211267605633803</x:v>
      </x:c>
      <x:c r="S52" s="40" t="n">
        <x:v>0.47887323943661975</x:v>
      </x:c>
      <x:c r="T52" s="40" t="n">
        <x:v>0.9264705882352942</x:v>
      </x:c>
      <x:c r="U52" s="40" t="n">
        <x:v>0.9464118120167695</x:v>
      </x:c>
      <x:c r="V52" s="40" t="n">
        <x:v>0.6227542858963737</x:v>
      </x:c>
      <x:c r="W52" s="64" t="str">
        <x:v>Stage 6 – Broad Recovery</x:v>
      </x:c>
      <x:c r="X52" s="64" t="str">
        <x:v>Rev3M +2.8%; Accel3M +10.7ppt; Stock3M +31.2%; EV/EBITDA 5.1x (52th pct); PeakRatio36M 95%; Multiple3M +17.8%; Earnings-Price Gap -28.4%; CycleHeat 62%. Forward EBITDA revisions are positive and non-decelerating, with earnings recovering toward normal cycle levels.</x:v>
      </x:c>
    </x:row>
    <x:row r="53">
      <x:c r="A53" s="32" t="n">
        <x:v>44592</x:v>
      </x:c>
      <x:c r="B53" s="33" t="n">
        <x:v>1.0007</x:v>
      </x:c>
      <x:c r="C53" s="40" t="n">
        <x:f>IFERROR((1+B53)/(1+B52)-1,"")</x:f>
        <x:v>-0.11680572109654341</x:v>
      </x:c>
      <x:c r="D53" s="40" t="n">
        <x:f>IFERROR((1+B53)/(1+B50)-1,"")</x:f>
        <x:v>0.19060937871935257</x:v>
      </x:c>
      <x:c r="E53" s="40" t="n">
        <x:f>IFERROR((1+B53)/(1+B47)-1,"")</x:f>
        <x:v>0.06042296072507569</x:v>
      </x:c>
      <x:c r="F53" s="36" t="n">
        <x:v>4.855692291217646</x:v>
      </x:c>
      <x:c r="G53" s="40" t="n">
        <x:f>IFERROR(F53/F50-1,"")</x:f>
        <x:v>0.1886002407980123</x:v>
      </x:c>
      <x:c r="H53" s="38" t="n">
        <x:v>19.302630899257274</x:v>
      </x:c>
      <x:c r="I53" s="40" t="n">
        <x:f>IFERROR(H53/H52-1,"")</x:f>
        <x:v>0.013864605746983116</x:v>
      </x:c>
      <x:c r="J53" s="40" t="n">
        <x:f>IFERROR(H53/H50-1,"")</x:f>
        <x:v>0.04217316427413209</x:v>
      </x:c>
      <x:c r="K53" s="40" t="n">
        <x:f>IFERROR(H53/H47-1,"")</x:f>
        <x:v>-0.04046656133533</x:v>
      </x:c>
      <x:c r="L53" s="40" t="n">
        <x:f>IFERROR(J53-J52,"")</x:f>
        <x:v>0.014251725487646194</x:v>
      </x:c>
      <x:c r="M53" s="40" t="n">
        <x:f>IFERROR(J53-D53,"")</x:f>
        <x:v>-0.14843621444522048</x:v>
      </x:c>
      <x:c r="N53" s="42" t="str">
        <x:f>IF(J53&lt;0,IF(D53&lt;0,"Down-cycle","Price up / earnings down"),IF(AND(J53&gt;0,L53&lt;0,M53&lt;-0.15),"Late-cycle warning",IF(AND(J53&gt;0,M53&gt;0),"Earnings-led expansion",IF(AND(J53&gt;0,D53&lt;0),"Potential dislocation",IF(AND(J53&gt;0,M53&lt;0),"Price ahead / rerating","Neutral")))))</x:f>
        <x:v>Price ahead / rerating</x:v>
      </x:c>
      <x:c r="O53" s="40" t="n">
        <x:v>0.12146874435848432</x:v>
      </x:c>
      <x:c r="P53" s="40" t="n">
        <x:v>0.5294117647058824</x:v>
      </x:c>
      <x:c r="Q53" s="40" t="n">
        <x:v>0.7076923076923077</x:v>
      </x:c>
      <x:c r="R53" s="40" t="n">
        <x:v>0.4295774647887324</x:v>
      </x:c>
      <x:c r="S53" s="40" t="n">
        <x:v>0.5704225352112676</x:v>
      </x:c>
      <x:c r="T53" s="40" t="n">
        <x:v>0.8382352941176471</x:v>
      </x:c>
      <x:c r="U53" s="40" t="n">
        <x:v>0.95953343866467</x:v>
      </x:c>
      <x:c r="V53" s="40" t="n">
        <x:v>0.6439487604359186</x:v>
      </x:c>
      <x:c r="W53" s="64" t="str">
        <x:v>Stage 6 – Broad Recovery</x:v>
      </x:c>
      <x:c r="X53" s="64" t="str">
        <x:v>Rev3M +4.2%; Accel3M +12.1ppt; Stock3M +19.1%; EV/EBITDA 4.9x (43th pct); PeakRatio36M 96%; Multiple3M +18.9%; Earnings-Price Gap -14.8%; CycleHeat 64%. Forward EBITDA revisions are positive and non-decelerating, with earnings recovering toward normal cycle levels.</x:v>
      </x:c>
    </x:row>
    <x:row r="54">
      <x:c r="A54" s="32" t="n">
        <x:v>44620</x:v>
      </x:c>
      <x:c r="B54" s="33" t="n">
        <x:v>1.161</x:v>
      </x:c>
      <x:c r="C54" s="40" t="n">
        <x:f>IFERROR((1+B54)/(1+B53)-1,"")</x:f>
        <x:v>0.08012195731493965</x:v>
      </x:c>
      <x:c r="D54" s="40" t="n">
        <x:f>IFERROR((1+B54)/(1+B51)-1,"")</x:f>
        <x:v>0.0578617583708636</x:v>
      </x:c>
      <x:c r="E54" s="40" t="n">
        <x:f>IFERROR((1+B54)/(1+B48)-1,"")</x:f>
        <x:v>0.20571332924175634</x:v>
      </x:c>
      <x:c r="F54" s="36" t="n">
        <x:v>4.972799221720924</x:v>
      </x:c>
      <x:c r="G54" s="40" t="n">
        <x:f>IFERROR(F54/F51-1,"")</x:f>
        <x:v>0.008976759171720916</x:v>
      </x:c>
      <x:c r="H54" s="38" t="n">
        <x:v>19.57025426655505</x:v>
      </x:c>
      <x:c r="I54" s="40" t="n">
        <x:f>IFERROR(H54/H53-1,"")</x:f>
        <x:v>0.013864605746985115</x:v>
      </x:c>
      <x:c r="J54" s="40" t="n">
        <x:f>IFERROR(H54/H51-1,"")</x:f>
        <x:v>0.04937295463706448</x:v>
      </x:c>
      <x:c r="K54" s="40" t="n">
        <x:f>IFERROR(H54/H48-1,"")</x:f>
        <x:v>0.013864605746985115</x:v>
      </x:c>
      <x:c r="L54" s="40" t="n">
        <x:f>IFERROR(J54-J53,"")</x:f>
        <x:v>0.00719979036293239</x:v>
      </x:c>
      <x:c r="M54" s="40" t="n">
        <x:f>IFERROR(J54-D54,"")</x:f>
        <x:v>-0.008488803733799122</x:v>
      </x:c>
      <x:c r="N54" s="42" t="str">
        <x:f>IF(J54&lt;0,IF(D54&lt;0,"Down-cycle","Price up / earnings down"),IF(AND(J54&gt;0,L54&lt;0,M54&lt;-0.15),"Late-cycle warning",IF(AND(J54&gt;0,M54&gt;0),"Earnings-led expansion",IF(AND(J54&gt;0,D54&lt;0),"Potential dislocation",IF(AND(J54&gt;0,M54&lt;0),"Price ahead / rerating","Neutral")))))</x:f>
        <x:v>Price ahead / rerating</x:v>
      </x:c>
      <x:c r="O54" s="40" t="n">
        <x:v>0.08321063716277832</x:v>
      </x:c>
      <x:c r="P54" s="40" t="n">
        <x:v>0.5735294117647058</x:v>
      </x:c>
      <x:c r="Q54" s="40" t="n">
        <x:v>0.6</x:v>
      </x:c>
      <x:c r="R54" s="40" t="n">
        <x:v>0.47183098591549294</x:v>
      </x:c>
      <x:c r="S54" s="40" t="n">
        <x:v>0.528169014084507</x:v>
      </x:c>
      <x:c r="T54" s="40" t="n">
        <x:v>0.5588235294117647</x:v>
      </x:c>
      <x:c r="U54" s="40" t="n">
        <x:v>0.9728369914928047</x:v>
      </x:c>
      <x:c r="V54" s="40" t="n">
        <x:v>0.5681338028169014</x:v>
      </x:c>
      <x:c r="W54" s="64" t="str">
        <x:v>Stage 6 – Broad Recovery</x:v>
      </x:c>
      <x:c r="X54" s="64" t="str">
        <x:v>Rev3M +4.9%; Accel3M +8.3ppt; Stock3M +5.8%; EV/EBITDA 5.0x (47th pct); PeakRatio36M 97%; Multiple3M +0.9%; Earnings-Price Gap -0.8%; CycleHeat 57%. Forward EBITDA revisions are positive and non-decelerating, with earnings recovering toward normal cycle levels.</x:v>
      </x:c>
    </x:row>
    <x:row r="55">
      <x:c r="A55" s="32" t="n">
        <x:v>44651</x:v>
      </x:c>
      <x:c r="B55" s="33" t="n">
        <x:v>0.8942</x:v>
      </x:c>
      <x:c r="C55" s="40" t="n">
        <x:f>IFERROR((1+B55)/(1+B54)-1,"")</x:f>
        <x:v>-0.12346136048125866</x:v>
      </x:c>
      <x:c r="D55" s="40" t="n">
        <x:f>IFERROR((1+B55)/(1+B52)-1,"")</x:f>
        <x:v>-0.1638193616739504</x:v>
      </x:c>
      <x:c r="E55" s="40" t="n">
        <x:f>IFERROR((1+B55)/(1+B49)-1,"")</x:f>
        <x:v>0.09732360097323611</x:v>
      </x:c>
      <x:c r="F55" s="36" t="n">
        <x:v>3.965319029355806</x:v>
      </x:c>
      <x:c r="G55" s="40" t="n">
        <x:f>IFERROR(F55/F52-1,"")</x:f>
        <x:v>-0.2213766170642697</x:v>
      </x:c>
      <x:c r="H55" s="38" t="n">
        <x:v>20.678370681840402</x:v>
      </x:c>
      <x:c r="I55" s="40" t="n">
        <x:f>IFERROR(H55/H54-1,"")</x:f>
        <x:v>0.05662248431687922</x:v>
      </x:c>
      <x:c r="J55" s="40" t="n">
        <x:f>IFERROR(H55/H52-1,"")</x:f>
        <x:v>0.08612490433315956</x:v>
      </x:c>
      <x:c r="K55" s="40" t="n">
        <x:f>IFERROR(H55/H49-1,"")</x:f>
        <x:v>0.1164510743639755</x:v>
      </x:c>
      <x:c r="L55" s="40" t="n">
        <x:f>IFERROR(J55-J54,"")</x:f>
        <x:v>0.036751949696095076</x:v>
      </x:c>
      <x:c r="M55" s="40" t="n">
        <x:f>IFERROR(J55-D55,"")</x:f>
        <x:v>0.24994426600710995</x:v>
      </x:c>
      <x:c r="N55" s="42" t="str">
        <x:f>IF(J55&lt;0,IF(D55&lt;0,"Down-cycle","Price up / earnings down"),IF(AND(J55&gt;0,L55&lt;0,M55&lt;-0.15),"Late-cycle warning",IF(AND(J55&gt;0,M55&gt;0),"Earnings-led expansion",IF(AND(J55&gt;0,D55&lt;0),"Potential dislocation",IF(AND(J55&gt;0,M55&lt;0),"Price ahead / rerating","Neutral")))))</x:f>
        <x:v>Earnings-led expansion</x:v>
      </x:c>
      <x:c r="O55" s="40" t="n">
        <x:v>0.05820346554667366</x:v>
      </x:c>
      <x:c r="P55" s="40" t="n">
        <x:v>0.6470588235294118</x:v>
      </x:c>
      <x:c r="Q55" s="40" t="n">
        <x:v>0.5230769230769231</x:v>
      </x:c>
      <x:c r="R55" s="40" t="n">
        <x:v>0.2535211267605634</x:v>
      </x:c>
      <x:c r="S55" s="40" t="n">
        <x:v>0.7464788732394366</x:v>
      </x:c>
      <x:c r="T55" s="40" t="n">
        <x:v>0.14705882352941177</x:v>
      </x:c>
      <x:c r="U55" s="40" t="n">
        <x:v>1</x:v>
      </x:c>
      <x:c r="V55" s="40" t="n">
        <x:v>0.5359473583582945</x:v>
      </x:c>
      <x:c r="W55" s="64" t="str">
        <x:v>Stage 8 – High-Cycle Expansion</x:v>
      </x:c>
      <x:c r="X55" s="64" t="str">
        <x:v>Rev3M +8.6%; Accel3M +5.8ppt; Stock3M -16.4%; EV/EBITDA 4.0x (25th pct); PeakRatio36M 100%; Multiple3M -22.1%; Earnings-Price Gap +25.0%; CycleHeat 54%. Forward EBITDA is near a 36M high, revisions remain positive, and EV/EBITDA is at a low historical percentile—classic high-profit-cycle conditions.</x:v>
      </x:c>
    </x:row>
    <x:row r="56">
      <x:c r="A56" s="32" t="n">
        <x:v>44681</x:v>
      </x:c>
      <x:c r="B56" s="33" t="n">
        <x:v>0.6583</x:v>
      </x:c>
      <x:c r="C56" s="40" t="n">
        <x:f>IFERROR((1+B56)/(1+B55)-1,"")</x:f>
        <x:v>-0.12453806356245378</x:v>
      </x:c>
      <x:c r="D56" s="40" t="n">
        <x:f>IFERROR((1+B56)/(1+B53)-1,"")</x:f>
        <x:v>-0.17114010096466237</x:v>
      </x:c>
      <x:c r="E56" s="40" t="n">
        <x:f>IFERROR((1+B56)/(1+B50)-1,"")</x:f>
        <x:v>-0.013151630564151362</x:v>
      </x:c>
      <x:c r="F56" s="36" t="n">
        <x:v>3.2575609694281584</x:v>
      </x:c>
      <x:c r="G56" s="40" t="n">
        <x:f>IFERROR(F56/F53-1,"")</x:f>
        <x:v>-0.3291253287775221</x:v>
      </x:c>
      <x:c r="H56" s="38" t="n">
        <x:v>22.770682626629394</x:v>
      </x:c>
      <x:c r="I56" s="40" t="n">
        <x:f>IFERROR(H56/H55-1,"")</x:f>
        <x:v>0.10118359792372056</x:v>
      </x:c>
      <x:c r="J56" s="40" t="n">
        <x:f>IFERROR(H56/H53-1,"")</x:f>
        <x:v>0.17966730781271711</x:v>
      </x:c>
      <x:c r="K56" s="40" t="n">
        <x:f>IFERROR(H56/H50-1,"")</x:f>
        <x:v>0.2294176109739261</x:v>
      </x:c>
      <x:c r="L56" s="40" t="n">
        <x:f>IFERROR(J56-J55,"")</x:f>
        <x:v>0.09354240347955756</x:v>
      </x:c>
      <x:c r="M56" s="40" t="n">
        <x:f>IFERROR(J56-D56,"")</x:f>
        <x:v>0.3508074087773795</x:v>
      </x:c>
      <x:c r="N56" s="42" t="str">
        <x:f>IF(J56&lt;0,IF(D56&lt;0,"Down-cycle","Price up / earnings down"),IF(AND(J56&gt;0,L56&lt;0,M56&lt;-0.15),"Late-cycle warning",IF(AND(J56&gt;0,M56&gt;0),"Earnings-led expansion",IF(AND(J56&gt;0,D56&lt;0),"Potential dislocation",IF(AND(J56&gt;0,M56&lt;0),"Price ahead / rerating","Neutral")))))</x:f>
        <x:v>Earnings-led expansion</x:v>
      </x:c>
      <x:c r="O56" s="40" t="n">
        <x:v>0.13749414353858502</x:v>
      </x:c>
      <x:c r="P56" s="40" t="n">
        <x:v>0.8529411764705882</x:v>
      </x:c>
      <x:c r="Q56" s="40" t="n">
        <x:v>0.7384615384615385</x:v>
      </x:c>
      <x:c r="R56" s="40" t="n">
        <x:v>0.16901408450704225</x:v>
      </x:c>
      <x:c r="S56" s="40" t="n">
        <x:v>0.8309859154929577</x:v>
      </x:c>
      <x:c r="T56" s="40" t="n">
        <x:v>0.10294117647058823</x:v>
      </x:c>
      <x:c r="U56" s="40" t="n">
        <x:v>1</x:v>
      </x:c>
      <x:c r="V56" s="40" t="n">
        <x:v>0.6699302147727998</x:v>
      </x:c>
      <x:c r="W56" s="64" t="str">
        <x:v>Stage 8 – High-Cycle Expansion</x:v>
      </x:c>
      <x:c r="X56" s="64" t="str">
        <x:v>Rev3M +18.0%; Accel3M +13.7ppt; Stock3M -17.1%; EV/EBITDA 3.3x (17th pct); PeakRatio36M 100%; Multiple3M -32.9%; Earnings-Price Gap +35.1%; CycleHeat 67%. Forward EBITDA is near a 36M high, revisions remain positive, and EV/EBITDA is at a low historical percentile—classic high-profit-cycle conditions.</x:v>
      </x:c>
    </x:row>
    <x:row r="57">
      <x:c r="A57" s="32" t="n">
        <x:v>44712</x:v>
      </x:c>
      <x:c r="B57" s="33" t="n">
        <x:v>0.7957</x:v>
      </x:c>
      <x:c r="C57" s="40" t="n">
        <x:f>IFERROR((1+B57)/(1+B56)-1,"")</x:f>
        <x:v>0.08285593680274972</x:v>
      </x:c>
      <x:c r="D57" s="40" t="n">
        <x:f>IFERROR((1+B57)/(1+B54)-1,"")</x:f>
        <x:v>-0.16904211013419712</x:v>
      </x:c>
      <x:c r="E57" s="40" t="n">
        <x:f>IFERROR((1+B57)/(1+B51)-1,"")</x:f>
        <x:v>-0.12096142549441924</x:v>
      </x:c>
      <x:c r="F57" s="36" t="n">
        <x:v>3.29660897422976</x:v>
      </x:c>
      <x:c r="G57" s="40" t="n">
        <x:f>IFERROR(F57/F54-1,"")</x:f>
        <x:v>-0.33707177240731</x:v>
      </x:c>
      <x:c r="H57" s="38" t="n">
        <x:v>22.770682626629394</x:v>
      </x:c>
      <x:c r="I57" s="40" t="n">
        <x:f>IFERROR(H57/H56-1,"")</x:f>
        <x:v>0</x:v>
      </x:c>
      <x:c r="J57" s="40" t="n">
        <x:f>IFERROR(H57/H54-1,"")</x:f>
        <x:v>0.16353534892716115</x:v>
      </x:c>
      <x:c r="K57" s="40" t="n">
        <x:f>IFERROR(H57/H51-1,"")</x:f>
        <x:v>0.22098252692836295</x:v>
      </x:c>
      <x:c r="L57" s="40" t="n">
        <x:f>IFERROR(J57-J56,"")</x:f>
        <x:v>-0.016131958885555964</x:v>
      </x:c>
      <x:c r="M57" s="40" t="n">
        <x:f>IFERROR(J57-D57,"")</x:f>
        <x:v>0.33257745906135827</x:v>
      </x:c>
      <x:c r="N57" s="42" t="str">
        <x:f>IF(J57&lt;0,IF(D57&lt;0,"Down-cycle","Price up / earnings down"),IF(AND(J57&gt;0,L57&lt;0,M57&lt;-0.15),"Late-cycle warning",IF(AND(J57&gt;0,M57&gt;0),"Earnings-led expansion",IF(AND(J57&gt;0,D57&lt;0),"Potential dislocation",IF(AND(J57&gt;0,M57&lt;0),"Price ahead / rerating","Neutral")))))</x:f>
        <x:v>Earnings-led expansion</x:v>
      </x:c>
      <x:c r="O57" s="40" t="n">
        <x:v>0.11416239429009667</x:v>
      </x:c>
      <x:c r="P57" s="40" t="n">
        <x:v>0.8382352941176471</x:v>
      </x:c>
      <x:c r="Q57" s="40" t="n">
        <x:v>0.676923076923077</x:v>
      </x:c>
      <x:c r="R57" s="40" t="n">
        <x:v>0.19014084507042253</x:v>
      </x:c>
      <x:c r="S57" s="40" t="n">
        <x:v>0.8098591549295775</x:v>
      </x:c>
      <x:c r="T57" s="40" t="n">
        <x:v>0.11764705882352941</x:v>
      </x:c>
      <x:c r="U57" s="40" t="n">
        <x:v>1</x:v>
      </x:c>
      <x:c r="V57" s="40" t="n">
        <x:v>0.6481143649225671</x:v>
      </x:c>
      <x:c r="W57" s="64" t="str">
        <x:v>Stage 8 – High-Cycle Expansion</x:v>
      </x:c>
      <x:c r="X57" s="64" t="str">
        <x:v>Rev3M +16.4%; Accel3M +11.4ppt; Stock3M -16.9%; EV/EBITDA 3.3x (19th pct); PeakRatio36M 100%; Multiple3M -33.7%; Earnings-Price Gap +33.3%; CycleHeat 65%. Forward EBITDA is near a 36M high, revisions remain positive, and EV/EBITDA is at a low historical percentile—classic high-profit-cycle conditions.</x:v>
      </x:c>
    </x:row>
    <x:row r="58">
      <x:c r="A58" s="32" t="n">
        <x:v>44742</x:v>
      </x:c>
      <x:c r="B58" s="33" t="n">
        <x:v>0.3444</x:v>
      </x:c>
      <x:c r="C58" s="40" t="n">
        <x:f>IFERROR((1+B58)/(1+B57)-1,"")</x:f>
        <x:v>-0.25132260399844075</x:v>
      </x:c>
      <x:c r="D58" s="40" t="n">
        <x:f>IFERROR((1+B58)/(1+B55)-1,"")</x:f>
        <x:v>-0.29025446098616836</x:v>
      </x:c>
      <x:c r="E58" s="40" t="n">
        <x:f>IFERROR((1+B58)/(1+B52)-1,"")</x:f>
        <x:v>-0.4065245221383481</x:v>
      </x:c>
      <x:c r="F58" s="36" t="n">
        <x:v>2.7735220480995824</x:v>
      </x:c>
      <x:c r="G58" s="40" t="n">
        <x:f>IFERROR(F58/F55-1,"")</x:f>
        <x:v>-0.30055513123488564</x:v>
      </x:c>
      <x:c r="H58" s="38" t="n">
        <x:v>20.11668392309463</x:v>
      </x:c>
      <x:c r="I58" s="40" t="n">
        <x:f>IFERROR(H58/H57-1,"")</x:f>
        <x:v>-0.11655332196457824</x:v>
      </x:c>
      <x:c r="J58" s="40" t="n">
        <x:f>IFERROR(H58/H55-1,"")</x:f>
        <x:v>-0.02716300850719544</x:v>
      </x:c>
      <x:c r="K58" s="40" t="n">
        <x:f>IFERROR(H58/H52-1,"")</x:f>
        <x:v>0.056622484316880994</x:v>
      </x:c>
      <x:c r="L58" s="40" t="n">
        <x:f>IFERROR(J58-J57,"")</x:f>
        <x:v>-0.1906983574343566</x:v>
      </x:c>
      <x:c r="M58" s="40" t="n">
        <x:f>IFERROR(J58-D58,"")</x:f>
        <x:v>0.2630914524789729</x:v>
      </x:c>
      <x:c r="N58" s="42" t="str">
        <x:f>IF(J58&lt;0,IF(D58&lt;0,"Down-cycle","Price up / earnings down"),IF(AND(J58&gt;0,L58&lt;0,M58&lt;-0.15),"Late-cycle warning",IF(AND(J58&gt;0,M58&gt;0),"Earnings-led expansion",IF(AND(J58&gt;0,D58&lt;0),"Potential dislocation",IF(AND(J58&gt;0,M58&lt;0),"Price ahead / rerating","Neutral")))))</x:f>
        <x:v>Down-cycle</x:v>
      </x:c>
      <x:c r="O58" s="40" t="n">
        <x:v>-0.113287912840355</x:v>
      </x:c>
      <x:c r="P58" s="40" t="n">
        <x:v>0.4264705882352941</x:v>
      </x:c>
      <x:c r="Q58" s="40" t="n">
        <x:v>0.2923076923076923</x:v>
      </x:c>
      <x:c r="R58" s="40" t="n">
        <x:v>0.08450704225352113</x:v>
      </x:c>
      <x:c r="S58" s="40" t="n">
        <x:v>0.9154929577464789</x:v>
      </x:c>
      <x:c r="T58" s="40" t="n">
        <x:v>0.014705882352941176</x:v>
      </x:c>
      <x:c r="U58" s="40" t="n">
        <x:v>0.8834466780354218</x:v>
      </x:c>
      <x:c r="V58" s="40" t="n">
        <x:v>0.40838139697916</x:v>
      </x:c>
      <x:c r="W58" s="64" t="str">
        <x:v>Stage 12 – Downturn Confirmation</x:v>
      </x:c>
      <x:c r="X58" s="64" t="str">
        <x:v>Rev3M -2.7%; Accel3M -11.3ppt; Stock3M -29.0%; EV/EBITDA 2.8x (8th pct); PeakRatio36M 88%; Multiple3M -30.1%; Earnings-Price Gap +26.3%; CycleHeat 41%. Forward EBITDA, revision momentum, and stock performance are all negative while earnings are still relatively elevated—downcycle is being confirmed.</x:v>
      </x:c>
    </x:row>
    <x:row r="59">
      <x:c r="A59" s="32" t="n">
        <x:v>44773</x:v>
      </x:c>
      <x:c r="B59" s="33" t="n">
        <x:v>0.5044</x:v>
      </x:c>
      <x:c r="C59" s="40" t="n">
        <x:f>IFERROR((1+B59)/(1+B58)-1,"")</x:f>
        <x:v>0.11901219875037183</x:v>
      </x:c>
      <x:c r="D59" s="40" t="n">
        <x:f>IFERROR((1+B59)/(1+B56)-1,"")</x:f>
        <x:v>-0.09280588554543823</x:v>
      </x:c>
      <x:c r="E59" s="40" t="n">
        <x:f>IFERROR((1+B59)/(1+B53)-1,"")</x:f>
        <x:v>-0.24806317788773935</x:v>
      </x:c>
      <x:c r="F59" s="36" t="n">
        <x:v>4.713179153133251</x:v>
      </x:c>
      <x:c r="G59" s="40" t="n">
        <x:f>IFERROR(F59/F56-1,"")</x:f>
        <x:v>0.4468429593078702</x:v>
      </x:c>
      <x:c r="H59" s="38" t="n">
        <x:v>13.493900217028116</x:v>
      </x:c>
      <x:c r="I59" s="40" t="n">
        <x:f>IFERROR(H59/H58-1,"")</x:f>
        <x:v>-0.32921846022859336</x:v>
      </x:c>
      <x:c r="J59" s="40" t="n">
        <x:f>IFERROR(H59/H56-1,"")</x:f>
        <x:v>-0.40740027700146575</x:v>
      </x:c>
      <x:c r="K59" s="40" t="n">
        <x:f>IFERROR(H59/H53-1,"")</x:f>
        <x:v>-0.3009294801597572</x:v>
      </x:c>
      <x:c r="L59" s="40" t="n">
        <x:f>IFERROR(J59-J58,"")</x:f>
        <x:v>-0.3802372684942703</x:v>
      </x:c>
      <x:c r="M59" s="40" t="n">
        <x:f>IFERROR(J59-D59,"")</x:f>
        <x:v>-0.3145943914560275</x:v>
      </x:c>
      <x:c r="N59" s="42" t="str">
        <x:f>IF(J59&lt;0,IF(D59&lt;0,"Down-cycle","Price up / earnings down"),IF(AND(J59&gt;0,L59&lt;0,M59&lt;-0.15),"Late-cycle warning",IF(AND(J59&gt;0,M59&gt;0),"Earnings-led expansion",IF(AND(J59&gt;0,D59&lt;0),"Potential dislocation",IF(AND(J59&gt;0,M59&lt;0),"Price ahead / rerating","Neutral")))))</x:f>
        <x:v>Down-cycle</x:v>
      </x:c>
      <x:c r="O59" s="40" t="n">
        <x:v>-0.5870675848141829</x:v>
      </x:c>
      <x:c r="P59" s="40" t="n">
        <x:v>0.04411764705882353</x:v>
      </x:c>
      <x:c r="Q59" s="40" t="n">
        <x:v>0.015384615384615385</x:v>
      </x:c>
      <x:c r="R59" s="40" t="n">
        <x:v>0.38028169014084506</x:v>
      </x:c>
      <x:c r="S59" s="40" t="n">
        <x:v>0.619718309859155</x:v>
      </x:c>
      <x:c r="T59" s="40" t="n">
        <x:v>0.2647058823529412</x:v>
      </x:c>
      <x:c r="U59" s="40" t="n">
        <x:v>0.5925997229985343</x:v>
      </x:c>
      <x:c r="V59" s="40" t="n">
        <x:v>0.19617216875916133</x:v>
      </x:c>
      <x:c r="W59" s="64" t="str">
        <x:v>Stage 1 – Downturn Acceleration</x:v>
      </x:c>
      <x:c r="X59" s="64" t="str">
        <x:v>Rev3M -40.7%; Accel3M -58.7ppt; Stock3M -9.3%; EV/EBITDA 4.7x (38th pct); PeakRatio36M 59%; Multiple3M +44.7%; Earnings-Price Gap -31.5%; CycleHeat 20%. Forward EBITDA is being cut, revision momentum is still worsening, the stock is falling, and earnings are already well below the prior peak.</x:v>
      </x:c>
    </x:row>
    <x:row r="60">
      <x:c r="A60" s="32" t="n">
        <x:v>44804</x:v>
      </x:c>
      <x:c r="B60" s="33" t="n">
        <x:v>0.3748</x:v>
      </x:c>
      <x:c r="C60" s="40" t="n">
        <x:f>IFERROR((1+B60)/(1+B59)-1,"")</x:f>
        <x:v>-0.08614730124966763</x:v>
      </x:c>
      <x:c r="D60" s="40" t="n">
        <x:f>IFERROR((1+B60)/(1+B57)-1,"")</x:f>
        <x:v>-0.2343932728183995</x:v>
      </x:c>
      <x:c r="E60" s="40" t="n">
        <x:f>IFERROR((1+B60)/(1+B54)-1,"")</x:f>
        <x:v>-0.36381304951411386</x:v>
      </x:c>
      <x:c r="F60" s="36" t="n">
        <x:v>6.053220666662522</x:v>
      </x:c>
      <x:c r="G60" s="40" t="n">
        <x:f>IFERROR(F60/F57-1,"")</x:f>
        <x:v>0.8361961379046583</x:v>
      </x:c>
      <x:c r="H60" s="38" t="n">
        <x:v>11.051673483792472</x:v>
      </x:c>
      <x:c r="I60" s="40" t="n">
        <x:f>IFERROR(H60/H59-1,"")</x:f>
        <x:v>-0.18098746055301107</x:v>
      </x:c>
      <x:c r="J60" s="40" t="n">
        <x:f>IFERROR(H60/H57-1,"")</x:f>
        <x:v>-0.5146533959913883</x:v>
      </x:c>
      <x:c r="K60" s="40" t="n">
        <x:f>IFERROR(H60/H54-1,"")</x:f>
        <x:v>-0.43528206975422723</x:v>
      </x:c>
      <x:c r="L60" s="40" t="n">
        <x:f>IFERROR(J60-J59,"")</x:f>
        <x:v>-0.10725311898992251</x:v>
      </x:c>
      <x:c r="M60" s="40" t="n">
        <x:f>IFERROR(J60-D60,"")</x:f>
        <x:v>-0.28026012317298876</x:v>
      </x:c>
      <x:c r="N60" s="42" t="str">
        <x:f>IF(J60&lt;0,IF(D60&lt;0,"Down-cycle","Price up / earnings down"),IF(AND(J60&gt;0,L60&lt;0,M60&lt;-0.15),"Late-cycle warning",IF(AND(J60&gt;0,M60&gt;0),"Earnings-led expansion",IF(AND(J60&gt;0,D60&lt;0),"Potential dislocation",IF(AND(J60&gt;0,M60&lt;0),"Price ahead / rerating","Neutral")))))</x:f>
        <x:v>Down-cycle</x:v>
      </x:c>
      <x:c r="O60" s="40" t="n">
        <x:v>-0.6781887449185494</x:v>
      </x:c>
      <x:c r="P60" s="40" t="n">
        <x:v>0</x:v>
      </x:c>
      <x:c r="Q60" s="40" t="n">
        <x:v>0</x:v>
      </x:c>
      <x:c r="R60" s="40" t="n">
        <x:v>0.676056338028169</x:v>
      </x:c>
      <x:c r="S60" s="40" t="n">
        <x:v>0.323943661971831</x:v>
      </x:c>
      <x:c r="T60" s="40" t="n">
        <x:v>0.058823529411764705</x:v>
      </x:c>
      <x:c r="U60" s="40" t="n">
        <x:v>0.48534660400861174</x:v>
      </x:c>
      <x:c r="V60" s="40" t="n">
        <x:v>0.07655343827671915</x:v>
      </x:c>
      <x:c r="W60" s="64" t="str">
        <x:v>Stage 1 – Downturn Acceleration</x:v>
      </x:c>
      <x:c r="X60" s="64" t="str">
        <x:v>Rev3M -51.5%; Accel3M -67.8ppt; Stock3M -23.4%; EV/EBITDA 6.1x (68th pct); PeakRatio36M 49%; Multiple3M +83.6%; Earnings-Price Gap -28.0%; CycleHeat 8%. Forward EBITDA is being cut, revision momentum is still worsening, the stock is falling, and earnings are already well below the prior peak.</x:v>
      </x:c>
    </x:row>
    <x:row r="61">
      <x:c r="A61" s="32" t="n">
        <x:v>44834</x:v>
      </x:c>
      <x:c r="B61" s="33" t="n">
        <x:v>0.2184</x:v>
      </x:c>
      <x:c r="C61" s="40" t="n">
        <x:f>IFERROR((1+B61)/(1+B60)-1,"")</x:f>
        <x:v>-0.1137620017457085</x:v>
      </x:c>
      <x:c r="D61" s="40" t="n">
        <x:f>IFERROR((1+B61)/(1+B58)-1,"")</x:f>
        <x:v>-0.09372210651591795</x:v>
      </x:c>
      <x:c r="E61" s="40" t="n">
        <x:f>IFERROR((1+B61)/(1+B55)-1,"")</x:f>
        <x:v>-0.35677330799282025</x:v>
      </x:c>
      <x:c r="F61" s="36" t="n">
        <x:v>4.972799221720924</x:v>
      </x:c>
      <x:c r="G61" s="40" t="n">
        <x:f>IFERROR(F61/F58-1,"")</x:f>
        <x:v>0.7929546387158835</x:v>
      </x:c>
      <x:c r="H61" s="38" t="n">
        <x:v>10.387671724870001</x:v>
      </x:c>
      <x:c r="I61" s="40" t="n">
        <x:f>IFERROR(H61/H60-1,"")</x:f>
        <x:v>-0.060081557774598005</x:v>
      </x:c>
      <x:c r="J61" s="40" t="n">
        <x:f>IFERROR(H61/H58-1,"")</x:f>
        <x:v>-0.4836290233230436</x:v>
      </x:c>
      <x:c r="K61" s="40" t="n">
        <x:f>IFERROR(H61/H55-1,"")</x:f>
        <x:v>-0.4976552125553886</x:v>
      </x:c>
      <x:c r="L61" s="40" t="n">
        <x:f>IFERROR(J61-J60,"")</x:f>
        <x:v>0.03102437266834468</x:v>
      </x:c>
      <x:c r="M61" s="40" t="n">
        <x:f>IFERROR(J61-D61,"")</x:f>
        <x:v>-0.38990691680712564</x:v>
      </x:c>
      <x:c r="N61" s="42" t="str">
        <x:f>IF(J61&lt;0,IF(D61&lt;0,"Down-cycle","Price up / earnings down"),IF(AND(J61&gt;0,L61&lt;0,M61&lt;-0.15),"Late-cycle warning",IF(AND(J61&gt;0,M61&gt;0),"Earnings-led expansion",IF(AND(J61&gt;0,D61&lt;0),"Potential dislocation",IF(AND(J61&gt;0,M61&lt;0),"Price ahead / rerating","Neutral")))))</x:f>
        <x:v>Down-cycle</x:v>
      </x:c>
      <x:c r="O61" s="40" t="n">
        <x:v>-0.45646601481584814</x:v>
      </x:c>
      <x:c r="P61" s="40" t="n">
        <x:v>0.014705882352941176</x:v>
      </x:c>
      <x:c r="Q61" s="40" t="n">
        <x:v>0.03076923076923077</x:v>
      </x:c>
      <x:c r="R61" s="40" t="n">
        <x:v>0.47183098591549294</x:v>
      </x:c>
      <x:c r="S61" s="40" t="n">
        <x:v>0.528169014084507</x:v>
      </x:c>
      <x:c r="T61" s="40" t="n">
        <x:v>0.25</x:v>
      </x:c>
      <x:c r="U61" s="40" t="n">
        <x:v>0.45618622397916336</x:v>
      </x:c>
      <x:c r="V61" s="40" t="n">
        <x:v>0.1684731693327385</x:v>
      </x:c>
      <x:c r="W61" s="64" t="str">
        <x:v>Stage 1 – Downturn Acceleration</x:v>
      </x:c>
      <x:c r="X61" s="64" t="str">
        <x:v>Rev3M -48.4%; Accel3M -45.6ppt; Stock3M -9.4%; EV/EBITDA 5.0x (47th pct); PeakRatio36M 46%; Multiple3M +79.3%; Earnings-Price Gap -39.0%; CycleHeat 17%. Forward EBITDA is being cut, revision momentum is still worsening, the stock is falling, and earnings are already well below the prior peak.</x:v>
      </x:c>
    </x:row>
    <x:row r="62">
      <x:c r="A62" s="32" t="n">
        <x:v>44865</x:v>
      </x:c>
      <x:c r="B62" s="33" t="n">
        <x:v>0.3157</x:v>
      </x:c>
      <x:c r="C62" s="40" t="n">
        <x:f>IFERROR((1+B62)/(1+B61)-1,"")</x:f>
        <x:v>0.07985883125410398</x:v>
      </x:c>
      <x:c r="D62" s="40" t="n">
        <x:f>IFERROR((1+B62)/(1+B59)-1,"")</x:f>
        <x:v>-0.12543206593990952</x:v>
      </x:c>
      <x:c r="E62" s="40" t="n">
        <x:f>IFERROR((1+B62)/(1+B56)-1,"")</x:f>
        <x:v>-0.20659711753000065</x:v>
      </x:c>
      <x:c r="F62" s="36" t="n">
        <x:v>7.237853058857521</x:v>
      </x:c>
      <x:c r="G62" s="40" t="n">
        <x:f>IFERROR(F62/F59-1,"")</x:f>
        <x:v>0.5356626225518935</x:v>
      </x:c>
      <x:c r="H62" s="38" t="n">
        <x:v>7.672891420448579</x:v>
      </x:c>
      <x:c r="I62" s="40" t="n">
        <x:f>IFERROR(H62/H61-1,"")</x:f>
        <x:v>-0.26134637061370913</x:v>
      </x:c>
      <x:c r="J62" s="40" t="n">
        <x:f>IFERROR(H62/H59-1,"")</x:f>
        <x:v>-0.4313807500394835</x:v>
      </x:c>
      <x:c r="K62" s="40" t="n">
        <x:f>IFERROR(H62/H56-1,"")</x:f>
        <x:v>-0.6630363899817635</x:v>
      </x:c>
      <x:c r="L62" s="40" t="n">
        <x:f>IFERROR(J62-J61,"")</x:f>
        <x:v>0.052248273283560076</x:v>
      </x:c>
      <x:c r="M62" s="40" t="n">
        <x:f>IFERROR(J62-D62,"")</x:f>
        <x:v>-0.305948684099574</x:v>
      </x:c>
      <x:c r="N62" s="42" t="str">
        <x:f>IF(J62&lt;0,IF(D62&lt;0,"Down-cycle","Price up / earnings down"),IF(AND(J62&gt;0,L62&lt;0,M62&lt;-0.15),"Late-cycle warning",IF(AND(J62&gt;0,M62&gt;0),"Earnings-led expansion",IF(AND(J62&gt;0,D62&lt;0),"Potential dislocation",IF(AND(J62&gt;0,M62&lt;0),"Price ahead / rerating","Neutral")))))</x:f>
        <x:v>Down-cycle</x:v>
      </x:c>
      <x:c r="O62" s="40" t="n">
        <x:v>-0.023980473038017758</x:v>
      </x:c>
      <x:c r="P62" s="40" t="n">
        <x:v>0.029411764705882353</x:v>
      </x:c>
      <x:c r="Q62" s="40" t="n">
        <x:v>0.4461538461538462</x:v>
      </x:c>
      <x:c r="R62" s="40" t="n">
        <x:v>0.7887323943661971</x:v>
      </x:c>
      <x:c r="S62" s="40" t="n">
        <x:v>0.21126760563380287</x:v>
      </x:c>
      <x:c r="T62" s="40" t="n">
        <x:v>0.17647058823529413</x:v>
      </x:c>
      <x:c r="U62" s="40" t="n">
        <x:v>0.33696361001823644</x:v>
      </x:c>
      <x:c r="V62" s="40" t="n">
        <x:v>0.19938021795933977</x:v>
      </x:c>
      <x:c r="W62" s="64" t="str">
        <x:v>Stage 1 – Downturn Acceleration</x:v>
      </x:c>
      <x:c r="X62" s="64" t="str">
        <x:v>Rev3M -43.1%; Accel3M -2.4ppt; Stock3M -12.5%; EV/EBITDA 7.2x (79th pct); PeakRatio36M 34%; Multiple3M +53.6%; Earnings-Price Gap -30.6%; CycleHeat 20%. Forward EBITDA is being cut, revision momentum is still worsening, the stock is falling, and earnings are already well below the prior peak.</x:v>
      </x:c>
    </x:row>
    <x:row r="63">
      <x:c r="A63" s="32" t="n">
        <x:v>44895</x:v>
      </x:c>
      <x:c r="B63" s="33" t="n">
        <x:v>0.402</x:v>
      </x:c>
      <x:c r="C63" s="40" t="n">
        <x:f>IFERROR((1+B63)/(1+B62)-1,"")</x:f>
        <x:v>0.06559246028729948</x:v>
      </x:c>
      <x:c r="D63" s="40" t="n">
        <x:f>IFERROR((1+B63)/(1+B60)-1,"")</x:f>
        <x:v>0.019784695955775478</x:v>
      </x:c>
      <x:c r="E63" s="40" t="n">
        <x:f>IFERROR((1+B63)/(1+B57)-1,"")</x:f>
        <x:v>-0.21924597649941524</x:v>
      </x:c>
      <x:c r="F63" s="36" t="n">
        <x:v>7.682174722906653</x:v>
      </x:c>
      <x:c r="G63" s="40" t="n">
        <x:f>IFERROR(F63/F60-1,"")</x:f>
        <x:v>0.2691053483669321</x:v>
      </x:c>
      <x:c r="H63" s="38" t="n">
        <x:v>7.887129588559986</x:v>
      </x:c>
      <x:c r="I63" s="40" t="n">
        <x:f>IFERROR(H63/H62-1,"")</x:f>
        <x:v>0.027921438786485897</x:v>
      </x:c>
      <x:c r="J63" s="40" t="n">
        <x:f>IFERROR(H63/H60-1,"")</x:f>
        <x:v>-0.2863406976213476</x:v>
      </x:c>
      <x:c r="K63" s="40" t="n">
        <x:f>IFERROR(H63/H57-1,"")</x:f>
        <x:v>-0.653627881171366</x:v>
      </x:c>
      <x:c r="L63" s="40" t="n">
        <x:f>IFERROR(J63-J62,"")</x:f>
        <x:v>0.1450400524181359</x:v>
      </x:c>
      <x:c r="M63" s="40" t="n">
        <x:f>IFERROR(J63-D63,"")</x:f>
        <x:v>-0.3061253935771231</x:v>
      </x:c>
      <x:c r="N63" s="42" t="str">
        <x:f>IF(J63&lt;0,IF(D63&lt;0,"Down-cycle","Price up / earnings down"),IF(AND(J63&gt;0,L63&lt;0,M63&lt;-0.15),"Late-cycle warning",IF(AND(J63&gt;0,M63&gt;0),"Earnings-led expansion",IF(AND(J63&gt;0,D63&lt;0),"Potential dislocation",IF(AND(J63&gt;0,M63&lt;0),"Price ahead / rerating","Neutral")))))</x:f>
        <x:v>Price up / earnings down</x:v>
      </x:c>
      <x:c r="O63" s="40" t="n">
        <x:v>0.22831269837004065</x:v>
      </x:c>
      <x:c r="P63" s="40" t="n">
        <x:v>0.14705882352941177</x:v>
      </x:c>
      <x:c r="Q63" s="40" t="n">
        <x:v>0.8615384615384616</x:v>
      </x:c>
      <x:c r="R63" s="40" t="n">
        <x:v>0.8028169014084507</x:v>
      </x:c>
      <x:c r="S63" s="40" t="n">
        <x:v>0.19718309859154926</x:v>
      </x:c>
      <x:c r="T63" s="40" t="n">
        <x:v>0.47058823529411764</x:v>
      </x:c>
      <x:c r="U63" s="40" t="n">
        <x:v>0.3463721188286339</x:v>
      </x:c>
      <x:c r="V63" s="40" t="n">
        <x:v>0.4004094703970429</x:v>
      </x:c>
      <x:c r="W63" s="64" t="str">
        <x:v>Stage 4 – Price-Led Bottom</x:v>
      </x:c>
      <x:c r="X63" s="64" t="str">
        <x:v>Rev3M -28.6%; Accel3M +22.8ppt; Stock3M +2.0%; EV/EBITDA 7.7x (80th pct); PeakRatio36M 35%; Multiple3M +26.9%; Earnings-Price Gap -30.6%; CycleHeat 40%. EBITDA is still being revised down but improving, while the stock has already turned up—typical price leadership near a bottom.</x:v>
      </x:c>
    </x:row>
    <x:row r="64">
      <x:c r="A64" s="32" t="n">
        <x:v>44926</x:v>
      </x:c>
      <x:c r="B64" s="33" t="n">
        <x:v>0.2155</x:v>
      </x:c>
      <x:c r="C64" s="40" t="n">
        <x:f>IFERROR((1+B64)/(1+B63)-1,"")</x:f>
        <x:v>-0.13302425106990023</x:v>
      </x:c>
      <x:c r="D64" s="40" t="n">
        <x:f>IFERROR((1+B64)/(1+B61)-1,"")</x:f>
        <x:v>-0.002380170715692631</x:v>
      </x:c>
      <x:c r="E64" s="40" t="n">
        <x:f>IFERROR((1+B64)/(1+B58)-1,"")</x:f>
        <x:v>-0.09587920261826843</x:v>
      </x:c>
      <x:c r="F64" s="36" t="n">
        <x:v>8.551811784127384</x:v>
      </x:c>
      <x:c r="G64" s="40" t="n">
        <x:f>IFERROR(F64/F61-1,"")</x:f>
        <x:v>0.7197178898302437</x:v>
      </x:c>
      <x:c r="H64" s="38" t="n">
        <x:v>6.371322163391569</x:v>
      </x:c>
      <x:c r="I64" s="40" t="n">
        <x:f>IFERROR(H64/H63-1,"")</x:f>
        <x:v>-0.1921874628974075</x:v>
      </x:c>
      <x:c r="J64" s="40" t="n">
        <x:f>IFERROR(H64/H61-1,"")</x:f>
        <x:v>-0.3866457920365881</x:v>
      </x:c>
      <x:c r="K64" s="40" t="n">
        <x:f>IFERROR(H64/H58-1,"")</x:f>
        <x:v>-0.6832816885850119</x:v>
      </x:c>
      <x:c r="L64" s="40" t="n">
        <x:f>IFERROR(J64-J63,"")</x:f>
        <x:v>-0.10030509441524049</x:v>
      </x:c>
      <x:c r="M64" s="40" t="n">
        <x:f>IFERROR(J64-D64,"")</x:f>
        <x:v>-0.3842656213208955</x:v>
      </x:c>
      <x:c r="N64" s="42" t="str">
        <x:f>IF(J64&lt;0,IF(D64&lt;0,"Down-cycle","Price up / earnings down"),IF(AND(J64&gt;0,L64&lt;0,M64&lt;-0.15),"Late-cycle warning",IF(AND(J64&gt;0,M64&gt;0),"Earnings-led expansion",IF(AND(J64&gt;0,D64&lt;0),"Potential dislocation",IF(AND(J64&gt;0,M64&lt;0),"Price ahead / rerating","Neutral")))))</x:f>
        <x:v>Down-cycle</x:v>
      </x:c>
      <x:c r="O64" s="40" t="n">
        <x:v>0.09698323128645547</x:v>
      </x:c>
      <x:c r="P64" s="40" t="n">
        <x:v>0.058823529411764705</x:v>
      </x:c>
      <x:c r="Q64" s="40" t="n">
        <x:v>0.6307692307692307</x:v>
      </x:c>
      <x:c r="R64" s="40" t="n">
        <x:v>0.8309859154929577</x:v>
      </x:c>
      <x:c r="S64" s="40" t="n">
        <x:v>0.16901408450704225</x:v>
      </x:c>
      <x:c r="T64" s="40" t="n">
        <x:v>0.39705882352941174</x:v>
      </x:c>
      <x:c r="U64" s="40" t="n">
        <x:v>0.27980374009255937</x:v>
      </x:c>
      <x:c r="V64" s="40" t="n">
        <x:v>0.2914951245937162</x:v>
      </x:c>
      <x:c r="W64" s="64" t="str">
        <x:v>Stage 2 – Deep Downturn / Capitulation</x:v>
      </x:c>
      <x:c r="X64" s="64" t="str">
        <x:v>Rev3M -38.7%; Accel3M +9.7ppt; Stock3M -0.2%; EV/EBITDA 8.6x (83th pct); PeakRatio36M 28%; Multiple3M +72.0%; Earnings-Price Gap -38.4%; CycleHeat 29%. EBITDA revisions and stock returns are in weak historical percentiles, the multiple is unusually high, and forward EBITDA is far below its 36M peak.</x:v>
      </x:c>
    </x:row>
    <x:row r="65">
      <x:c r="A65" s="32" t="n">
        <x:v>44957</x:v>
      </x:c>
      <x:c r="B65" s="33" t="n">
        <x:v>0.4664</x:v>
      </x:c>
      <x:c r="C65" s="40" t="n">
        <x:f>IFERROR((1+B65)/(1+B64)-1,"")</x:f>
        <x:v>0.20641711229946513</x:v>
      </x:c>
      <x:c r="D65" s="40" t="n">
        <x:f>IFERROR((1+B65)/(1+B62)-1,"")</x:f>
        <x:v>0.11453978870563186</x:v>
      </x:c>
      <x:c r="E65" s="40" t="n">
        <x:f>IFERROR((1+B65)/(1+B59)-1,"")</x:f>
        <x:v>-0.025259239563945823</x:v>
      </x:c>
      <x:c r="F65" s="36" t="n">
        <x:v>12.373128669190793</x:v>
      </x:c>
      <x:c r="G65" s="40" t="n">
        <x:f>IFERROR(F65/F62-1,"")</x:f>
        <x:v>0.7095026064460976</x:v>
      </x:c>
      <x:c r="H65" s="38" t="n">
        <x:v>5.363892193970718</x:v>
      </x:c>
      <x:c r="I65" s="40" t="n">
        <x:f>IFERROR(H65/H64-1,"")</x:f>
        <x:v>-0.15811945206747768</x:v>
      </x:c>
      <x:c r="J65" s="40" t="n">
        <x:f>IFERROR(H65/H62-1,"")</x:f>
        <x:v>-0.3009294801597584</x:v>
      </x:c>
      <x:c r="K65" s="40" t="n">
        <x:f>IFERROR(H65/H59-1,"")</x:f>
        <x:v>-0.6024950453389335</x:v>
      </x:c>
      <x:c r="L65" s="40" t="n">
        <x:f>IFERROR(J65-J64,"")</x:f>
        <x:v>0.08571631187682971</x:v>
      </x:c>
      <x:c r="M65" s="40" t="n">
        <x:f>IFERROR(J65-D65,"")</x:f>
        <x:v>-0.41546926886539026</x:v>
      </x:c>
      <x:c r="N65" s="42" t="str">
        <x:f>IF(J65&lt;0,IF(D65&lt;0,"Down-cycle","Price up / earnings down"),IF(AND(J65&gt;0,L65&lt;0,M65&lt;-0.15),"Late-cycle warning",IF(AND(J65&gt;0,M65&gt;0),"Earnings-led expansion",IF(AND(J65&gt;0,D65&lt;0),"Potential dislocation",IF(AND(J65&gt;0,M65&lt;0),"Price ahead / rerating","Neutral")))))</x:f>
        <x:v>Price up / earnings down</x:v>
      </x:c>
      <x:c r="O65" s="40" t="n">
        <x:v>0.1304512698797251</x:v>
      </x:c>
      <x:c r="P65" s="40" t="n">
        <x:v>0.11764705882352941</x:v>
      </x:c>
      <x:c r="Q65" s="40" t="n">
        <x:v>0.7230769230769231</x:v>
      </x:c>
      <x:c r="R65" s="40" t="n">
        <x:v>0.8873239436619719</x:v>
      </x:c>
      <x:c r="S65" s="40" t="n">
        <x:v>0.11267605633802813</x:v>
      </x:c>
      <x:c r="T65" s="40" t="n">
        <x:v>0.7352941176470589</x:v>
      </x:c>
      <x:c r="U65" s="40" t="n">
        <x:v>0.23556132602269297</x:v>
      </x:c>
      <x:c r="V65" s="40" t="n">
        <x:v>0.39153973615448345</x:v>
      </x:c>
      <x:c r="W65" s="64" t="str">
        <x:v>Stage 4 – Price-Led Bottom</x:v>
      </x:c>
      <x:c r="X65" s="64" t="str">
        <x:v>Rev3M -30.1%; Accel3M +13.0ppt; Stock3M +11.5%; EV/EBITDA 12.4x (89th pct); PeakRatio36M 24%; Multiple3M +71.0%; Earnings-Price Gap -41.5%; CycleHeat 39%. EBITDA is still being revised down but improving, while the stock has already turned up—typical price leadership near a bottom.</x:v>
      </x:c>
    </x:row>
    <x:row r="66">
      <x:c r="A66" s="32" t="n">
        <x:v>44985</x:v>
      </x:c>
      <x:c r="B66" s="33" t="n">
        <x:v>0.4061</x:v>
      </x:c>
      <x:c r="C66" s="40" t="n">
        <x:f>IFERROR((1+B66)/(1+B65)-1,"")</x:f>
        <x:v>-0.041121112929623616</x:v>
      </x:c>
      <x:c r="D66" s="40" t="n">
        <x:f>IFERROR((1+B66)/(1+B63)-1,"")</x:f>
        <x:v>0.002924393723252372</x:v>
      </x:c>
      <x:c r="E66" s="40" t="n">
        <x:f>IFERROR((1+B66)/(1+B60)-1,"")</x:f>
        <x:v>0.022766947919697245</x:v>
      </x:c>
      <x:c r="F66" s="36" t="n">
        <x:v>12.081747687460828</x:v>
      </x:c>
      <x:c r="G66" s="40" t="n">
        <x:f>IFERROR(F66/F63-1,"")</x:f>
        <x:v>0.5726988936395263</x:v>
      </x:c>
      <x:c r="H66" s="38" t="n">
        <x:v>5.146833921507303</x:v>
      </x:c>
      <x:c r="I66" s="40" t="n">
        <x:f>IFERROR(H66/H65-1,"")</x:f>
        <x:v>-0.04046656133533011</x:v>
      </x:c>
      <x:c r="J66" s="40" t="n">
        <x:f>IFERROR(H66/H63-1,"")</x:f>
        <x:v>-0.34743890489987495</x:v>
      </x:c>
      <x:c r="K66" s="40" t="n">
        <x:f>IFERROR(H66/H60-1,"")</x:f>
        <x:v>-0.5342937041113953</x:v>
      </x:c>
      <x:c r="L66" s="40" t="n">
        <x:f>IFERROR(J66-J65,"")</x:f>
        <x:v>-0.046509424740116545</x:v>
      </x:c>
      <x:c r="M66" s="40" t="n">
        <x:f>IFERROR(J66-D66,"")</x:f>
        <x:v>-0.3503632986231273</x:v>
      </x:c>
      <x:c r="N66" s="42" t="str">
        <x:f>IF(J66&lt;0,IF(D66&lt;0,"Down-cycle","Price up / earnings down"),IF(AND(J66&gt;0,L66&lt;0,M66&lt;-0.15),"Late-cycle warning",IF(AND(J66&gt;0,M66&gt;0),"Earnings-led expansion",IF(AND(J66&gt;0,D66&lt;0),"Potential dislocation",IF(AND(J66&gt;0,M66&lt;0),"Price ahead / rerating","Neutral")))))</x:f>
        <x:v>Price up / earnings down</x:v>
      </x:c>
      <x:c r="O66" s="40" t="n">
        <x:v>-0.06109820727852733</x:v>
      </x:c>
      <x:c r="P66" s="40" t="n">
        <x:v>0.08088235294117647</x:v>
      </x:c>
      <x:c r="Q66" s="40" t="n">
        <x:v>0.3384615384615385</x:v>
      </x:c>
      <x:c r="R66" s="40" t="n">
        <x:v>0.8591549295774648</x:v>
      </x:c>
      <x:c r="S66" s="40" t="n">
        <x:v>0.14084507042253525</x:v>
      </x:c>
      <x:c r="T66" s="40" t="n">
        <x:v>0.4117647058823529</x:v>
      </x:c>
      <x:c r="U66" s="40" t="n">
        <x:v>0.22602896917496398</x:v>
      </x:c>
      <x:c r="V66" s="40" t="n">
        <x:v>0.223446163405774</x:v>
      </x:c>
      <x:c r="W66" s="64" t="str">
        <x:v>Stage 13 – Mixed / Transition</x:v>
      </x:c>
      <x:c r="X66" s="64" t="str">
        <x:v>Rev3M -34.7%; Accel3M -6.1ppt; Stock3M +0.3%; EV/EBITDA 12.1x (86th pct); PeakRatio36M 23%; Multiple3M +57.3%; Earnings-Price Gap -35.0%; CycleHeat 22%. Signals do not fit one dominant state; treat as a transition and require confirmation from the next 1–3 monthly observations.</x:v>
      </x:c>
    </x:row>
    <x:row r="67">
      <x:c r="A67" s="32" t="n">
        <x:v>45016</x:v>
      </x:c>
      <x:c r="B67" s="33" t="n">
        <x:v>0.4674</x:v>
      </x:c>
      <x:c r="C67" s="40" t="n">
        <x:f>IFERROR((1+B67)/(1+B66)-1,"")</x:f>
        <x:v>0.04359576132565257</x:v>
      </x:c>
      <x:c r="D67" s="40" t="n">
        <x:f>IFERROR((1+B67)/(1+B64)-1,"")</x:f>
        <x:v>0.20723981900452482</x:v>
      </x:c>
      <x:c r="E67" s="40" t="n">
        <x:f>IFERROR((1+B67)/(1+B61)-1,"")</x:f>
        <x:v>0.20436638214051217</x:v>
      </x:c>
      <x:c r="F67" s="36" t="n">
        <x:v>13.132697711983244</x:v>
      </x:c>
      <x:c r="G67" s="40" t="n">
        <x:f>IFERROR(F67/F64-1,"")</x:f>
        <x:v>0.5356626225518932</x:v>
      </x:c>
      <x:c r="H67" s="38" t="n">
        <x:v>4.673910809434192</x:v>
      </x:c>
      <x:c r="I67" s="40" t="n">
        <x:f>IFERROR(H67/H66-1,"")</x:f>
        <x:v>-0.09188621962268617</x:v>
      </x:c>
      <x:c r="J67" s="40" t="n">
        <x:f>IFERROR(H67/H64-1,"")</x:f>
        <x:v>-0.26641430309557823</x:v>
      </x:c>
      <x:c r="K67" s="40" t="n">
        <x:f>IFERROR(H67/H61-1,"")</x:f>
        <x:v>-0.5500521259019009</x:v>
      </x:c>
      <x:c r="L67" s="40" t="n">
        <x:f>IFERROR(J67-J66,"")</x:f>
        <x:v>0.08102460180429671</x:v>
      </x:c>
      <x:c r="M67" s="40" t="n">
        <x:f>IFERROR(J67-D67,"")</x:f>
        <x:v>-0.47365412210010305</x:v>
      </x:c>
      <x:c r="N67" s="42" t="str">
        <x:f>IF(J67&lt;0,IF(D67&lt;0,"Down-cycle","Price up / earnings down"),IF(AND(J67&gt;0,L67&lt;0,M67&lt;-0.15),"Late-cycle warning",IF(AND(J67&gt;0,M67&gt;0),"Earnings-led expansion",IF(AND(J67&gt;0,D67&lt;0),"Potential dislocation",IF(AND(J67&gt;0,M67&lt;0),"Price ahead / rerating","Neutral")))))</x:f>
        <x:v>Price up / earnings down</x:v>
      </x:c>
      <x:c r="O67" s="40" t="n">
        <x:v>0.12023148894100988</x:v>
      </x:c>
      <x:c r="P67" s="40" t="n">
        <x:v>0.17647058823529413</x:v>
      </x:c>
      <x:c r="Q67" s="40" t="n">
        <x:v>0.6923076923076923</x:v>
      </x:c>
      <x:c r="R67" s="40" t="n">
        <x:v>0.9154929577464789</x:v>
      </x:c>
      <x:c r="S67" s="40" t="n">
        <x:v>0.08450704225352113</x:v>
      </x:c>
      <x:c r="T67" s="40" t="n">
        <x:v>0.8529411764705882</x:v>
      </x:c>
      <x:c r="U67" s="40" t="n">
        <x:v>0.20526002167226387</x:v>
      </x:c>
      <x:c r="V67" s="40" t="n">
        <x:v>0.42233127270409787</x:v>
      </x:c>
      <x:c r="W67" s="64" t="str">
        <x:v>Stage 4 – Price-Led Bottom</x:v>
      </x:c>
      <x:c r="X67" s="64" t="str">
        <x:v>Rev3M -26.6%; Accel3M +12.0ppt; Stock3M +20.7%; EV/EBITDA 13.1x (92th pct); PeakRatio36M 21%; Multiple3M +53.6%; Earnings-Price Gap -47.4%; CycleHeat 42%. EBITDA is still being revised down but improving, while the stock has already turned up—typical price leadership near a bottom.</x:v>
      </x:c>
    </x:row>
    <x:row r="68">
      <x:c r="A68" s="32" t="n">
        <x:v>45046</x:v>
      </x:c>
      <x:c r="B68" s="33" t="n">
        <x:v>0.5652</x:v>
      </x:c>
      <x:c r="C68" s="40" t="n">
        <x:f>IFERROR((1+B68)/(1+B67)-1,"")</x:f>
        <x:v>0.06664849393485062</x:v>
      </x:c>
      <x:c r="D68" s="40" t="n">
        <x:f>IFERROR((1+B68)/(1+B65)-1,"")</x:f>
        <x:v>0.06737588652482263</x:v>
      </x:c>
      <x:c r="E68" s="40" t="n">
        <x:f>IFERROR((1+B68)/(1+B62)-1,"")</x:f>
        <x:v>0.18963289503686243</x:v>
      </x:c>
      <x:c r="F68" s="36" t="n">
        <x:v>12.596266915712595</x:v>
      </x:c>
      <x:c r="G68" s="40" t="n">
        <x:f>IFERROR(F68/F65-1,"")</x:f>
        <x:v>0.01803410054866883</x:v>
      </x:c>
      <x:c r="H68" s="38" t="n">
        <x:v>5.438260444509452</x:v>
      </x:c>
      <x:c r="I68" s="40" t="n">
        <x:f>IFERROR(H68/H67-1,"")</x:f>
        <x:v>0.16353534892716315</x:v>
      </x:c>
      <x:c r="J68" s="40" t="n">
        <x:f>IFERROR(H68/H65-1,"")</x:f>
        <x:v>0.013864605746985115</x:v>
      </x:c>
      <x:c r="K68" s="40" t="n">
        <x:f>IFERROR(H68/H62-1,"")</x:f>
        <x:v>-0.29123714301283365</x:v>
      </x:c>
      <x:c r="L68" s="40" t="n">
        <x:f>IFERROR(J68-J67,"")</x:f>
        <x:v>0.28027890884256335</x:v>
      </x:c>
      <x:c r="M68" s="40" t="n">
        <x:f>IFERROR(J68-D68,"")</x:f>
        <x:v>-0.05351128077783751</x:v>
      </x:c>
      <x:c r="N68" s="42" t="str">
        <x:f>IF(J68&lt;0,IF(D68&lt;0,"Down-cycle","Price up / earnings down"),IF(AND(J68&gt;0,L68&lt;0,M68&lt;-0.15),"Late-cycle warning",IF(AND(J68&gt;0,M68&gt;0),"Earnings-led expansion",IF(AND(J68&gt;0,D68&lt;0),"Potential dislocation",IF(AND(J68&gt;0,M68&lt;0),"Price ahead / rerating","Neutral")))))</x:f>
        <x:v>Price ahead / rerating</x:v>
      </x:c>
      <x:c r="O68" s="40" t="n">
        <x:v>0.3147940859067435</x:v>
      </x:c>
      <x:c r="P68" s="40" t="n">
        <x:v>0.5</x:v>
      </x:c>
      <x:c r="Q68" s="40" t="n">
        <x:v>0.9076923076923077</x:v>
      </x:c>
      <x:c r="R68" s="40" t="n">
        <x:v>0.9014084507042254</x:v>
      </x:c>
      <x:c r="S68" s="40" t="n">
        <x:v>0.09859154929577463</x:v>
      </x:c>
      <x:c r="T68" s="40" t="n">
        <x:v>0.6176470588235294</x:v>
      </x:c>
      <x:c r="U68" s="40" t="n">
        <x:v>0.23882729093723462</x:v>
      </x:c>
      <x:c r="V68" s="40" t="n">
        <x:v>0.5451707985469377</x:v>
      </x:c>
      <x:c r="W68" s="64" t="str">
        <x:v>Stage 5 – Early Recovery</x:v>
      </x:c>
      <x:c r="X68" s="64" t="str">
        <x:v>Rev3M +1.4%; Accel3M +31.5ppt; Stock3M +6.7%; EV/EBITDA 12.6x (90th pct); PeakRatio36M 24%; Multiple3M +1.8%; Earnings-Price Gap -5.4%; CycleHeat 55%. Forward EBITDA revisions have turned positive and are accelerating, but EBITDA remains well below its recent peak.</x:v>
      </x:c>
    </x:row>
    <x:row r="69">
      <x:c r="A69" s="32" t="n">
        <x:v>45077</x:v>
      </x:c>
      <x:c r="B69" s="33" t="n">
        <x:v>0.6586</x:v>
      </x:c>
      <x:c r="C69" s="40" t="n">
        <x:f>IFERROR((1+B69)/(1+B68)-1,"")</x:f>
        <x:v>0.059672885254280494</x:v>
      </x:c>
      <x:c r="D69" s="40" t="n">
        <x:f>IFERROR((1+B69)/(1+B66)-1,"")</x:f>
        <x:v>0.17957471019130922</x:v>
      </x:c>
      <x:c r="E69" s="40" t="n">
        <x:f>IFERROR((1+B69)/(1+B63)-1,"")</x:f>
        <x:v>0.18302425106989983</x:v>
      </x:c>
      <x:c r="F69" s="36" t="n">
        <x:v>13.691973213047241</x:v>
      </x:c>
      <x:c r="G69" s="40" t="n">
        <x:f>IFERROR(F69/F66-1,"")</x:f>
        <x:v>0.13327753295639533</x:v>
      </x:c>
      <x:c r="H69" s="38" t="n">
        <x:v>5.590104500615791</x:v>
      </x:c>
      <x:c r="I69" s="40" t="n">
        <x:f>IFERROR(H69/H68-1,"")</x:f>
        <x:v>0.027921438786485897</x:v>
      </x:c>
      <x:c r="J69" s="40" t="n">
        <x:f>IFERROR(H69/H66-1,"")</x:f>
        <x:v>0.08612490433316156</x:v>
      </x:c>
      <x:c r="K69" s="40" t="n">
        <x:f>IFERROR(H69/H63-1,"")</x:f>
        <x:v>-0.29123714301283354</x:v>
      </x:c>
      <x:c r="L69" s="40" t="n">
        <x:f>IFERROR(J69-J68,"")</x:f>
        <x:v>0.07226029858617644</x:v>
      </x:c>
      <x:c r="M69" s="40" t="n">
        <x:f>IFERROR(J69-D69,"")</x:f>
        <x:v>-0.09344980585814766</x:v>
      </x:c>
      <x:c r="N69" s="42" t="str">
        <x:f>IF(J69&lt;0,IF(D69&lt;0,"Down-cycle","Price up / earnings down"),IF(AND(J69&gt;0,L69&lt;0,M69&lt;-0.15),"Late-cycle warning",IF(AND(J69&gt;0,M69&gt;0),"Earnings-led expansion",IF(AND(J69&gt;0,D69&lt;0),"Potential dislocation",IF(AND(J69&gt;0,M69&lt;0),"Price ahead / rerating","Neutral")))))</x:f>
        <x:v>Price ahead / rerating</x:v>
      </x:c>
      <x:c r="O69" s="40" t="n">
        <x:v>0.4335638092330365</x:v>
      </x:c>
      <x:c r="P69" s="40" t="n">
        <x:v>0.6764705882352942</x:v>
      </x:c>
      <x:c r="Q69" s="40" t="n">
        <x:v>0.9384615384615385</x:v>
      </x:c>
      <x:c r="R69" s="40" t="n">
        <x:v>0.9436619718309859</x:v>
      </x:c>
      <x:c r="S69" s="40" t="n">
        <x:v>0.05633802816901412</x:v>
      </x:c>
      <x:c r="T69" s="40" t="n">
        <x:v>0.8088235294117647</x:v>
      </x:c>
      <x:c r="U69" s="40" t="n">
        <x:v>0.24549569252168088</x:v>
      </x:c>
      <x:c r="V69" s="40" t="n">
        <x:v>0.6444124020138933</x:v>
      </x:c>
      <x:c r="W69" s="64" t="str">
        <x:v>Stage 5 – Early Recovery</x:v>
      </x:c>
      <x:c r="X69" s="64" t="str">
        <x:v>Rev3M +8.6%; Accel3M +43.4ppt; Stock3M +18.0%; EV/EBITDA 13.7x (94th pct); PeakRatio36M 25%; Multiple3M +13.3%; Earnings-Price Gap -9.3%; CycleHeat 64%. Forward EBITDA revisions have turned positive and are accelerating, but EBITDA remains well below its recent peak.</x:v>
      </x:c>
    </x:row>
    <x:row r="70">
      <x:c r="A70" s="32" t="n">
        <x:v>45107</x:v>
      </x:c>
      <x:c r="B70" s="33" t="n">
        <x:v>0.5348</x:v>
      </x:c>
      <x:c r="C70" s="40" t="n">
        <x:f>IFERROR((1+B70)/(1+B69)-1,"")</x:f>
        <x:v>-0.07464126371638713</x:v>
      </x:c>
      <x:c r="D70" s="40" t="n">
        <x:f>IFERROR((1+B70)/(1+B67)-1,"")</x:f>
        <x:v>0.045931579664713285</x:v>
      </x:c>
      <x:c r="E70" s="40" t="n">
        <x:f>IFERROR((1+B70)/(1+B64)-1,"")</x:f>
        <x:v>0.2626902509255451</x:v>
      </x:c>
      <x:c r="F70" s="36" t="n">
        <x:v>17.170732854936595</x:v>
      </x:c>
      <x:c r="G70" s="40" t="n">
        <x:f>IFERROR(F70/F67-1,"")</x:f>
        <x:v>0.3074794860517309</x:v>
      </x:c>
      <x:c r="H70" s="38" t="n">
        <x:v>3.962058436713265</x:v>
      </x:c>
      <x:c r="I70" s="40" t="n">
        <x:f>IFERROR(H70/H69-1,"")</x:f>
        <x:v>-0.29123714301283365</x:v>
      </x:c>
      <x:c r="J70" s="40" t="n">
        <x:f>IFERROR(H70/H67-1,"")</x:f>
        <x:v>-0.1523033711477908</x:v>
      </x:c>
      <x:c r="K70" s="40" t="n">
        <x:f>IFERROR(H70/H64-1,"")</x:f>
        <x:v>-0.37814187775992314</x:v>
      </x:c>
      <x:c r="L70" s="40" t="n">
        <x:f>IFERROR(J70-J69,"")</x:f>
        <x:v>-0.23842827548095236</x:v>
      </x:c>
      <x:c r="M70" s="40" t="n">
        <x:f>IFERROR(J70-D70,"")</x:f>
        <x:v>-0.19823495081250408</x:v>
      </x:c>
      <x:c r="N70" s="42" t="str">
        <x:f>IF(J70&lt;0,IF(D70&lt;0,"Down-cycle","Price up / earnings down"),IF(AND(J70&gt;0,L70&lt;0,M70&lt;-0.15),"Late-cycle warning",IF(AND(J70&gt;0,M70&gt;0),"Earnings-led expansion",IF(AND(J70&gt;0,D70&lt;0),"Potential dislocation",IF(AND(J70&gt;0,M70&lt;0),"Price ahead / rerating","Neutral")))))</x:f>
        <x:v>Price up / earnings down</x:v>
      </x:c>
      <x:c r="O70" s="40" t="n">
        <x:v>0.11411093194778743</x:v>
      </x:c>
      <x:c r="P70" s="40" t="n">
        <x:v>0.27941176470588236</x:v>
      </x:c>
      <x:c r="Q70" s="40" t="n">
        <x:v>0.6615384615384615</x:v>
      </x:c>
      <x:c r="R70" s="40" t="n">
        <x:v>0.9577464788732394</x:v>
      </x:c>
      <x:c r="S70" s="40" t="n">
        <x:v>0.04225352112676062</x:v>
      </x:c>
      <x:c r="T70" s="40" t="n">
        <x:v>0.5147058823529411</x:v>
      </x:c>
      <x:c r="U70" s="40" t="n">
        <x:v>0.1739982284097095</x:v>
      </x:c>
      <x:c r="V70" s="40" t="n">
        <x:v>0.3745706137276146</x:v>
      </x:c>
      <x:c r="W70" s="64" t="str">
        <x:v>Stage 4 – Price-Led Bottom</x:v>
      </x:c>
      <x:c r="X70" s="64" t="str">
        <x:v>Rev3M -15.2%; Accel3M +11.4ppt; Stock3M +4.6%; EV/EBITDA 17.2x (96th pct); PeakRatio36M 17%; Multiple3M +30.7%; Earnings-Price Gap -19.8%; CycleHeat 37%. EBITDA is still being revised down but improving, while the stock has already turned up—typical price leadership near a bottom.</x:v>
      </x:c>
    </x:row>
    <x:row r="71">
      <x:c r="A71" s="32" t="n">
        <x:v>45138</x:v>
      </x:c>
      <x:c r="B71" s="33" t="n">
        <x:v>0.7361</x:v>
      </x:c>
      <x:c r="C71" s="40" t="n">
        <x:f>IFERROR((1+B71)/(1+B70)-1,"")</x:f>
        <x:v>0.13115715402658323</x:v>
      </x:c>
      <x:c r="D71" s="40" t="n">
        <x:f>IFERROR((1+B71)/(1+B68)-1,"")</x:f>
        <x:v>0.10918732430360345</x:v>
      </x:c>
      <x:c r="E71" s="40" t="n">
        <x:f>IFERROR((1+B71)/(1+B65)-1,"")</x:f>
        <x:v>0.18391980360065463</x:v>
      </x:c>
      <x:c r="F71" s="36" t="n">
        <x:v>18.33372411816886</x:v>
      </x:c>
      <x:c r="G71" s="40" t="n">
        <x:f>IFERROR(F71/F68-1,"")</x:f>
        <x:v>0.45548869683758086</x:v>
      </x:c>
      <x:c r="H71" s="38" t="n">
        <x:v>4.2444428143016735</x:v>
      </x:c>
      <x:c r="I71" s="40" t="n">
        <x:f>IFERROR(H71/H70-1,"")</x:f>
        <x:v>0.07127213848533276</x:v>
      </x:c>
      <x:c r="J71" s="40" t="n">
        <x:f>IFERROR(H71/H68-1,"")</x:f>
        <x:v>-0.21952196706817795</x:v>
      </x:c>
      <x:c r="K71" s="40" t="n">
        <x:f>IFERROR(H71/H65-1,"")</x:f>
        <x:v>-0.20870094684739582</x:v>
      </x:c>
      <x:c r="L71" s="40" t="n">
        <x:f>IFERROR(J71-J70,"")</x:f>
        <x:v>-0.06721859592038715</x:v>
      </x:c>
      <x:c r="M71" s="40" t="n">
        <x:f>IFERROR(J71-D71,"")</x:f>
        <x:v>-0.3287092913717814</x:v>
      </x:c>
      <x:c r="N71" s="42" t="str">
        <x:f>IF(J71&lt;0,IF(D71&lt;0,"Down-cycle","Price up / earnings down"),IF(AND(J71&gt;0,L71&lt;0,M71&lt;-0.15),"Late-cycle warning",IF(AND(J71&gt;0,M71&gt;0),"Earnings-led expansion",IF(AND(J71&gt;0,D71&lt;0),"Potential dislocation",IF(AND(J71&gt;0,M71&lt;0),"Price ahead / rerating","Neutral")))))</x:f>
        <x:v>Price up / earnings down</x:v>
      </x:c>
      <x:c r="O71" s="40" t="n">
        <x:v>-0.23338657281516306</x:v>
      </x:c>
      <x:c r="P71" s="40" t="n">
        <x:v>0.23529411764705882</x:v>
      </x:c>
      <x:c r="Q71" s="40" t="n">
        <x:v>0.13846153846153847</x:v>
      </x:c>
      <x:c r="R71" s="40" t="n">
        <x:v>1</x:v>
      </x:c>
      <x:c r="S71" s="40" t="n">
        <x:v>0</x:v>
      </x:c>
      <x:c r="T71" s="40" t="n">
        <x:v>0.7058823529411765</x:v>
      </x:c>
      <x:c r="U71" s="40" t="n">
        <x:v>0.18639945424112886</x:v>
      </x:c>
      <x:c r="V71" s="40" t="n">
        <x:v>0.2581447963800905</x:v>
      </x:c>
      <x:c r="W71" s="64" t="str">
        <x:v>Stage 13 – Mixed / Transition</x:v>
      </x:c>
      <x:c r="X71" s="64" t="str">
        <x:v>Rev3M -22.0%; Accel3M -23.3ppt; Stock3M +10.9%; EV/EBITDA 18.3x (100th pct); PeakRatio36M 19%; Multiple3M +45.5%; Earnings-Price Gap -32.9%; CycleHeat 26%. Signals do not fit one dominant state; treat as a transition and require confirmation from the next 1–3 monthly observations.</x:v>
      </x:c>
    </x:row>
    <x:row r="72">
      <x:c r="A72" s="32" t="n">
        <x:v>45169</x:v>
      </x:c>
      <x:c r="B72" s="33" t="n">
        <x:v>0.7009</x:v>
      </x:c>
      <x:c r="C72" s="40" t="n">
        <x:f>IFERROR((1+B72)/(1+B71)-1,"")</x:f>
        <x:v>-0.02027532976211055</x:v>
      </x:c>
      <x:c r="D72" s="40" t="n">
        <x:f>IFERROR((1+B72)/(1+B69)-1,"")</x:f>
        <x:v>0.02550343663330512</x:v>
      </x:c>
      <x:c r="E72" s="40" t="n">
        <x:f>IFERROR((1+B72)/(1+B66)-1,"")</x:f>
        <x:v>0.20965791906692277</x:v>
      </x:c>
      <x:c r="F72" s="36" t="n">
        <x:v>17.37655643437501</x:v>
      </x:c>
      <x:c r="G72" s="40" t="n">
        <x:f>IFERROR(F72/F69-1,"")</x:f>
        <x:v>0.26910534836693145</x:v>
      </x:c>
      <x:c r="H72" s="38" t="n">
        <x:v>4.2444428143016735</x:v>
      </x:c>
      <x:c r="I72" s="40" t="n">
        <x:f>IFERROR(H72/H71-1,"")</x:f>
        <x:v>0</x:v>
      </x:c>
      <x:c r="J72" s="40" t="n">
        <x:f>IFERROR(H72/H69-1,"")</x:f>
        <x:v>-0.24072209851638426</x:v>
      </x:c>
      <x:c r="K72" s="40" t="n">
        <x:f>IFERROR(H72/H66-1,"")</x:f>
        <x:v>-0.1753293618888241</x:v>
      </x:c>
      <x:c r="L72" s="40" t="n">
        <x:f>IFERROR(J72-J71,"")</x:f>
        <x:v>-0.021200131448206316</x:v>
      </x:c>
      <x:c r="M72" s="40" t="n">
        <x:f>IFERROR(J72-D72,"")</x:f>
        <x:v>-0.2662255351496894</x:v>
      </x:c>
      <x:c r="N72" s="42" t="str">
        <x:f>IF(J72&lt;0,IF(D72&lt;0,"Down-cycle","Price up / earnings down"),IF(AND(J72&gt;0,L72&lt;0,M72&lt;-0.15),"Late-cycle warning",IF(AND(J72&gt;0,M72&gt;0),"Earnings-led expansion",IF(AND(J72&gt;0,D72&lt;0),"Potential dislocation",IF(AND(J72&gt;0,M72&lt;0),"Price ahead / rerating","Neutral")))))</x:f>
        <x:v>Price up / earnings down</x:v>
      </x:c>
      <x:c r="O72" s="40" t="n">
        <x:v>-0.3268470028495458</x:v>
      </x:c>
      <x:c r="P72" s="40" t="n">
        <x:v>0.22058823529411764</x:v>
      </x:c>
      <x:c r="Q72" s="40" t="n">
        <x:v>0.09230769230769231</x:v>
      </x:c>
      <x:c r="R72" s="40" t="n">
        <x:v>0.971830985915493</x:v>
      </x:c>
      <x:c r="S72" s="40" t="n">
        <x:v>0.028169014084507005</x:v>
      </x:c>
      <x:c r="T72" s="40" t="n">
        <x:v>0.4852941176470588</x:v>
      </x:c>
      <x:c r="U72" s="40" t="n">
        <x:v>0.18639945424112886</x:v>
      </x:c>
      <x:c r="V72" s="40" t="n">
        <x:v>0.2029754317761774</x:v>
      </x:c>
      <x:c r="W72" s="64" t="str">
        <x:v>Stage 13 – Mixed / Transition</x:v>
      </x:c>
      <x:c r="X72" s="64" t="str">
        <x:v>Rev3M -24.1%; Accel3M -32.7ppt; Stock3M +2.6%; EV/EBITDA 17.4x (97th pct); PeakRatio36M 19%; Multiple3M +26.9%; Earnings-Price Gap -26.6%; CycleHeat 20%. Signals do not fit one dominant state; treat as a transition and require confirmation from the next 1–3 monthly observations.</x:v>
      </x:c>
    </x:row>
    <x:row r="73">
      <x:c r="A73" s="32" t="n">
        <x:v>45199</x:v>
      </x:c>
      <x:c r="B73" s="33" t="n">
        <x:v>0.6544</x:v>
      </x:c>
      <x:c r="C73" s="40" t="n">
        <x:f>IFERROR((1+B73)/(1+B72)-1,"")</x:f>
        <x:v>-0.0273384678699512</x:v>
      </x:c>
      <x:c r="D73" s="40" t="n">
        <x:f>IFERROR((1+B73)/(1+B70)-1,"")</x:f>
        <x:v>0.0779254626009902</x:v>
      </x:c>
      <x:c r="E73" s="40" t="n">
        <x:f>IFERROR((1+B73)/(1+B67)-1,"")</x:f>
        <x:v>0.1274362818590704</x:v>
      </x:c>
      <x:c r="F73" s="36" t="n">
        <x:v>17.42839667742039</x:v>
      </x:c>
      <x:c r="G73" s="40" t="n">
        <x:f>IFERROR(F73/F70-1,"")</x:f>
        <x:v>0.015005988658761238</x:v>
      </x:c>
      <x:c r="H73" s="38" t="n">
        <x:v>5.866104476541134</x:v>
      </x:c>
      <x:c r="I73" s="40" t="n">
        <x:f>IFERROR(H73/H72-1,"")</x:f>
        <x:v>0.3820670305122882</x:v>
      </x:c>
      <x:c r="J73" s="40" t="n">
        <x:f>IFERROR(H73/H70-1,"")</x:f>
        <x:v>0.4805699033069726</x:v>
      </x:c>
      <x:c r="K73" s="40" t="n">
        <x:f>IFERROR(H73/H67-1,"")</x:f>
        <x:v>0.25507411581336203</x:v>
      </x:c>
      <x:c r="L73" s="40" t="n">
        <x:f>IFERROR(J73-J72,"")</x:f>
        <x:v>0.7212920018233568</x:v>
      </x:c>
      <x:c r="M73" s="40" t="n">
        <x:f>IFERROR(J73-D73,"")</x:f>
        <x:v>0.4026444407059824</x:v>
      </x:c>
      <x:c r="N73" s="42" t="str">
        <x:f>IF(J73&lt;0,IF(D73&lt;0,"Down-cycle","Price up / earnings down"),IF(AND(J73&gt;0,L73&lt;0,M73&lt;-0.15),"Late-cycle warning",IF(AND(J73&gt;0,M73&gt;0),"Earnings-led expansion",IF(AND(J73&gt;0,D73&lt;0),"Potential dislocation",IF(AND(J73&gt;0,M73&lt;0),"Price ahead / rerating","Neutral")))))</x:f>
        <x:v>Earnings-led expansion</x:v>
      </x:c>
      <x:c r="O73" s="40" t="n">
        <x:v>0.6328732744547634</x:v>
      </x:c>
      <x:c r="P73" s="40" t="n">
        <x:v>0.9705882352941176</x:v>
      </x:c>
      <x:c r="Q73" s="40" t="n">
        <x:v>0.9692307692307692</x:v>
      </x:c>
      <x:c r="R73" s="40" t="n">
        <x:v>0.9859154929577465</x:v>
      </x:c>
      <x:c r="S73" s="40" t="n">
        <x:v>0.014084507042253502</x:v>
      </x:c>
      <x:c r="T73" s="40" t="n">
        <x:v>0.6323529411764706</x:v>
      </x:c>
      <x:c r="U73" s="40" t="n">
        <x:v>0.2576165402121481</x:v>
      </x:c>
      <x:c r="V73" s="40" t="n">
        <x:v>0.7113010643043782</x:v>
      </x:c>
      <x:c r="W73" s="64" t="str">
        <x:v>Stage 5 – Early Recovery</x:v>
      </x:c>
      <x:c r="X73" s="64" t="str">
        <x:v>Rev3M +48.1%; Accel3M +63.3ppt; Stock3M +7.8%; EV/EBITDA 17.4x (99th pct); PeakRatio36M 26%; Multiple3M +1.5%; Earnings-Price Gap +40.3%; CycleHeat 71%. Forward EBITDA revisions have turned positive and are accelerating, but EBITDA remains well below its recent peak.</x:v>
      </x:c>
    </x:row>
    <x:row r="74">
      <x:c r="A74" s="32" t="n">
        <x:v>45230</x:v>
      </x:c>
      <x:c r="B74" s="33" t="n">
        <x:v>0.6262</x:v>
      </x:c>
      <x:c r="C74" s="40" t="n">
        <x:f>IFERROR((1+B74)/(1+B73)-1,"")</x:f>
        <x:v>-0.017045454545454586</x:v>
      </x:c>
      <x:c r="D74" s="40" t="n">
        <x:f>IFERROR((1+B74)/(1+B71)-1,"")</x:f>
        <x:v>-0.06330280513795294</x:v>
      </x:c>
      <x:c r="E74" s="40" t="n">
        <x:f>IFERROR((1+B74)/(1+B68)-1,"")</x:f>
        <x:v>0.038972655251724886</x:v>
      </x:c>
      <x:c r="F74" s="36" t="n">
        <x:v>12.153943234831035</x:v>
      </x:c>
      <x:c r="G74" s="40" t="n">
        <x:f>IFERROR(F74/F71-1,"")</x:f>
        <x:v>-0.33707177240731</x:v>
      </x:c>
      <x:c r="H74" s="38" t="n">
        <x:v>6.327608263859074</x:v>
      </x:c>
      <x:c r="I74" s="40" t="n">
        <x:f>IFERROR(H74/H73-1,"")</x:f>
        <x:v>0.07867295735415536</x:v>
      </x:c>
      <x:c r="J74" s="40" t="n">
        <x:f>IFERROR(H74/H71-1,"")</x:f>
        <x:v>0.49079833106436555</x:v>
      </x:c>
      <x:c r="K74" s="40" t="n">
        <x:f>IFERROR(H74/H68-1,"")</x:f>
        <x:v>0.16353534892715937</x:v>
      </x:c>
      <x:c r="L74" s="40" t="n">
        <x:f>IFERROR(J74-J73,"")</x:f>
        <x:v>0.010228427757392966</x:v>
      </x:c>
      <x:c r="M74" s="40" t="n">
        <x:f>IFERROR(J74-D74,"")</x:f>
        <x:v>0.5541011362023185</x:v>
      </x:c>
      <x:c r="N74" s="42" t="str">
        <x:f>IF(J74&lt;0,IF(D74&lt;0,"Down-cycle","Price up / earnings down"),IF(AND(J74&gt;0,L74&lt;0,M74&lt;-0.15),"Late-cycle warning",IF(AND(J74&gt;0,M74&gt;0),"Earnings-led expansion",IF(AND(J74&gt;0,D74&lt;0),"Potential dislocation",IF(AND(J74&gt;0,M74&lt;0),"Price ahead / rerating","Neutral")))))</x:f>
        <x:v>Earnings-led expansion</x:v>
      </x:c>
      <x:c r="O74" s="40" t="n">
        <x:v>0.7103202981325435</x:v>
      </x:c>
      <x:c r="P74" s="40" t="n">
        <x:v>0.9852941176470589</x:v>
      </x:c>
      <x:c r="Q74" s="40" t="n">
        <x:v>0.9846153846153847</x:v>
      </x:c>
      <x:c r="R74" s="40" t="n">
        <x:v>0.8732394366197183</x:v>
      </x:c>
      <x:c r="S74" s="40" t="n">
        <x:v>0.12676056338028174</x:v>
      </x:c>
      <x:c r="T74" s="40" t="n">
        <x:v>0.35294117647058826</x:v>
      </x:c>
      <x:c r="U74" s="40" t="n">
        <x:v>0.27788399529398344</x:v>
      </x:c>
      <x:c r="V74" s="40" t="n">
        <x:v>0.6869471353004907</x:v>
      </x:c>
      <x:c r="W74" s="64" t="str">
        <x:v>Stage 5 – Early Recovery</x:v>
      </x:c>
      <x:c r="X74" s="64" t="str">
        <x:v>Rev3M +49.1%; Accel3M +71.0ppt; Stock3M -6.3%; EV/EBITDA 12.2x (87th pct); PeakRatio36M 28%; Multiple3M -33.7%; Earnings-Price Gap +55.4%; CycleHeat 69%. Forward EBITDA revisions have turned positive and are accelerating, but EBITDA remains well below its recent peak.</x:v>
      </x:c>
    </x:row>
    <x:row r="75">
      <x:c r="A75" s="32" t="n">
        <x:v>45260</x:v>
      </x:c>
      <x:c r="B75" s="33" t="n">
        <x:v>0.8512</x:v>
      </x:c>
      <x:c r="C75" s="40" t="n">
        <x:f>IFERROR((1+B75)/(1+B74)-1,"")</x:f>
        <x:v>0.1383593653917108</x:v>
      </x:c>
      <x:c r="D75" s="40" t="n">
        <x:f>IFERROR((1+B75)/(1+B72)-1,"")</x:f>
        <x:v>0.08836498324416486</x:v>
      </x:c>
      <x:c r="E75" s="40" t="n">
        <x:f>IFERROR((1+B75)/(1+B69)-1,"")</x:f>
        <x:v>0.11612203062824067</x:v>
      </x:c>
      <x:c r="F75" s="36" t="n">
        <x:v>13.21117330378427</x:v>
      </x:c>
      <x:c r="G75" s="40" t="n">
        <x:f>IFERROR(F75/F72-1,"")</x:f>
        <x:v>-0.23971280767405745</x:v>
      </x:c>
      <x:c r="H75" s="38" t="n">
        <x:v>6.685893163542813</x:v>
      </x:c>
      <x:c r="I75" s="40" t="n">
        <x:f>IFERROR(H75/H74-1,"")</x:f>
        <x:v>0.05662248431688299</x:v>
      </x:c>
      <x:c r="J75" s="40" t="n">
        <x:f>IFERROR(H75/H72-1,"")</x:f>
        <x:v>0.5752110361846929</x:v>
      </x:c>
      <x:c r="K75" s="40" t="n">
        <x:f>IFERROR(H75/H69-1,"")</x:f>
        <x:v>0.19602292994814552</x:v>
      </x:c>
      <x:c r="L75" s="40" t="n">
        <x:f>IFERROR(J75-J74,"")</x:f>
        <x:v>0.08441270512032739</x:v>
      </x:c>
      <x:c r="M75" s="40" t="n">
        <x:f>IFERROR(J75-D75,"")</x:f>
        <x:v>0.4868460529405281</x:v>
      </x:c>
      <x:c r="N75" s="42" t="str">
        <x:f>IF(J75&lt;0,IF(D75&lt;0,"Down-cycle","Price up / earnings down"),IF(AND(J75&gt;0,L75&lt;0,M75&lt;-0.15),"Late-cycle warning",IF(AND(J75&gt;0,M75&gt;0),"Earnings-led expansion",IF(AND(J75&gt;0,D75&lt;0),"Potential dislocation",IF(AND(J75&gt;0,M75&lt;0),"Price ahead / rerating","Neutral")))))</x:f>
        <x:v>Earnings-led expansion</x:v>
      </x:c>
      <x:c r="O75" s="40" t="n">
        <x:v>0.8159331347010772</x:v>
      </x:c>
      <x:c r="P75" s="40" t="n">
        <x:v>1</x:v>
      </x:c>
      <x:c r="Q75" s="40" t="n">
        <x:v>1</x:v>
      </x:c>
      <x:c r="R75" s="40" t="n">
        <x:v>0.9295774647887324</x:v>
      </x:c>
      <x:c r="S75" s="40" t="n">
        <x:v>0.07042253521126762</x:v>
      </x:c>
      <x:c r="T75" s="40" t="n">
        <x:v>0.6470588235294118</x:v>
      </x:c>
      <x:c r="U75" s="40" t="n">
        <x:v>0.2936184774594298</x:v>
      </x:c>
      <x:c r="V75" s="40" t="n">
        <x:v>0.7434962717481358</x:v>
      </x:c>
      <x:c r="W75" s="64" t="str">
        <x:v>Stage 5 – Early Recovery</x:v>
      </x:c>
      <x:c r="X75" s="64" t="str">
        <x:v>Rev3M +57.5%; Accel3M +81.6ppt; Stock3M +8.8%; EV/EBITDA 13.2x (93th pct); PeakRatio36M 29%; Multiple3M -24.0%; Earnings-Price Gap +48.7%; CycleHeat 74%. Forward EBITDA revisions have turned positive and are accelerating, but EBITDA remains well below its recent peak.</x:v>
      </x:c>
    </x:row>
    <x:row r="76">
      <x:c r="A76" s="32" t="n">
        <x:v>45291</x:v>
      </x:c>
      <x:c r="B76" s="33" t="n">
        <x:v>1.0754</x:v>
      </x:c>
      <x:c r="C76" s="40" t="n">
        <x:f>IFERROR((1+B76)/(1+B75)-1,"")</x:f>
        <x:v>0.12111063094209173</x:v>
      </x:c>
      <x:c r="D76" s="40" t="n">
        <x:f>IFERROR((1+B76)/(1+B73)-1,"")</x:f>
        <x:v>0.2544729206963252</x:v>
      </x:c>
      <x:c r="E76" s="40" t="n">
        <x:f>IFERROR((1+B76)/(1+B70)-1,"")</x:f>
        <x:v>0.3522283033620015</x:v>
      </x:c>
      <x:c r="F76" s="36" t="n">
        <x:v>9.807747958273561</x:v>
      </x:c>
      <x:c r="G76" s="40" t="n">
        <x:f>IFERROR(F76/F73-1,"")</x:f>
        <x:v>-0.4372547205687527</x:v>
      </x:c>
      <x:c r="H76" s="38" t="n">
        <x:v>8.507633398327462</x:v>
      </x:c>
      <x:c r="I76" s="40" t="n">
        <x:f>IFERROR(H76/H75-1,"")</x:f>
        <x:v>0.27247522361235577</x:v>
      </x:c>
      <x:c r="J76" s="40" t="n">
        <x:f>IFERROR(H76/H73-1,"")</x:f>
        <x:v>0.4503037633151512</x:v>
      </x:c>
      <x:c r="K76" s="40" t="n">
        <x:f>IFERROR(H76/H70-1,"")</x:f>
        <x:v>1.1472761026172522</x:v>
      </x:c>
      <x:c r="L76" s="40" t="n">
        <x:f>IFERROR(J76-J75,"")</x:f>
        <x:v>-0.12490727286954173</x:v>
      </x:c>
      <x:c r="M76" s="40" t="n">
        <x:f>IFERROR(J76-D76,"")</x:f>
        <x:v>0.195830842618826</x:v>
      </x:c>
      <x:c r="N76" s="42" t="str">
        <x:f>IF(J76&lt;0,IF(D76&lt;0,"Down-cycle","Price up / earnings down"),IF(AND(J76&gt;0,L76&lt;0,M76&lt;-0.15),"Late-cycle warning",IF(AND(J76&gt;0,M76&gt;0),"Earnings-led expansion",IF(AND(J76&gt;0,D76&lt;0),"Potential dislocation",IF(AND(J76&gt;0,M76&lt;0),"Price ahead / rerating","Neutral")))))</x:f>
        <x:v>Earnings-led expansion</x:v>
      </x:c>
      <x:c r="O76" s="40" t="n">
        <x:v>-0.030266139991821372</x:v>
      </x:c>
      <x:c r="P76" s="40" t="n">
        <x:v>0.9558823529411765</x:v>
      </x:c>
      <x:c r="Q76" s="40" t="n">
        <x:v>0.4307692307692308</x:v>
      </x:c>
      <x:c r="R76" s="40" t="n">
        <x:v>0.8450704225352113</x:v>
      </x:c>
      <x:c r="S76" s="40" t="n">
        <x:v>0.15492957746478875</x:v>
      </x:c>
      <x:c r="T76" s="40" t="n">
        <x:v>0.8823529411764706</x:v>
      </x:c>
      <x:c r="U76" s="40" t="n">
        <x:v>0.3736222377619074</x:v>
      </x:c>
      <x:c r="V76" s="40" t="n">
        <x:v>0.6497076349499713</x:v>
      </x:c>
      <x:c r="W76" s="64" t="str">
        <x:v>Stage 13 – Mixed / Transition</x:v>
      </x:c>
      <x:c r="X76" s="64" t="str">
        <x:v>Rev3M +45.0%; Accel3M -3.0ppt; Stock3M +25.4%; EV/EBITDA 9.8x (85th pct); PeakRatio36M 37%; Multiple3M -43.7%; Earnings-Price Gap +19.6%; CycleHeat 65%. Signals do not fit one dominant state; treat as a transition and require confirmation from the next 1–3 monthly observations.</x:v>
      </x:c>
    </x:row>
    <x:row r="77">
      <x:c r="A77" s="32" t="n">
        <x:v>45322</x:v>
      </x:c>
      <x:c r="B77" s="33" t="n">
        <x:v>1.0854</x:v>
      </x:c>
      <x:c r="C77" s="40" t="n">
        <x:f>IFERROR((1+B77)/(1+B76)-1,"")</x:f>
        <x:v>0.00481834827021288</x:v>
      </x:c>
      <x:c r="D77" s="40" t="n">
        <x:f>IFERROR((1+B77)/(1+B74)-1,"")</x:f>
        <x:v>0.28237609150166043</x:v>
      </x:c>
      <x:c r="E77" s="40" t="n">
        <x:f>IFERROR((1+B77)/(1+B71)-1,"")</x:f>
        <x:v>0.20119808766776104</x:v>
      </x:c>
      <x:c r="F77" s="36" t="n">
        <x:v>10.134450993668953</x:v>
      </x:c>
      <x:c r="G77" s="40" t="n">
        <x:f>IFERROR(F77/F74-1,"")</x:f>
        <x:v>-0.16615942679200424</x:v>
      </x:c>
      <x:c r="H77" s="38" t="n">
        <x:v>9.967318369884277</x:v>
      </x:c>
      <x:c r="I77" s="40" t="n">
        <x:f>IFERROR(H77/H76-1,"")</x:f>
        <x:v>0.17157356261305035</x:v>
      </x:c>
      <x:c r="J77" s="40" t="n">
        <x:f>IFERROR(H77/H74-1,"")</x:f>
        <x:v>0.5752110361846927</x:v>
      </x:c>
      <x:c r="K77" s="40" t="n">
        <x:f>IFERROR(H77/H71-1,"")</x:f>
        <x:v>1.3483219838183098</x:v>
      </x:c>
      <x:c r="L77" s="40" t="n">
        <x:f>IFERROR(J77-J76,"")</x:f>
        <x:v>0.12490727286954151</x:v>
      </x:c>
      <x:c r="M77" s="40" t="n">
        <x:f>IFERROR(J77-D77,"")</x:f>
        <x:v>0.2928349446830323</x:v>
      </x:c>
      <x:c r="N77" s="42" t="str">
        <x:f>IF(J77&lt;0,IF(D77&lt;0,"Down-cycle","Price up / earnings down"),IF(AND(J77&gt;0,L77&lt;0,M77&lt;-0.15),"Late-cycle warning",IF(AND(J77&gt;0,M77&gt;0),"Earnings-led expansion",IF(AND(J77&gt;0,D77&lt;0),"Potential dislocation",IF(AND(J77&gt;0,M77&lt;0),"Price ahead / rerating","Neutral")))))</x:f>
        <x:v>Earnings-led expansion</x:v>
      </x:c>
      <x:c r="O77" s="40" t="n">
        <x:v>0.08441270512032717</x:v>
      </x:c>
      <x:c r="P77" s="40" t="n">
        <x:v>1</x:v>
      </x:c>
      <x:c r="Q77" s="40" t="n">
        <x:v>0.6106497338397864</x:v>
      </x:c>
      <x:c r="R77" s="40" t="n">
        <x:v>0.8470939281423981</x:v>
      </x:c>
      <x:c r="S77" s="40" t="n">
        <x:v>0.15290607185760186</x:v>
      </x:c>
      <x:c r="T77" s="40" t="n">
        <x:v>0.9055052658778259</x:v>
      </x:c>
      <x:c r="U77" s="40" t="n">
        <x:v>0.437725936166178</x:v>
      </x:c>
      <x:c r="V77" s="40" t="n">
        <x:v>0.7143447010070321</x:v>
      </x:c>
      <x:c r="W77" s="64" t="str">
        <x:v>Stage 5 – Early Recovery</x:v>
      </x:c>
      <x:c r="X77" s="64" t="str">
        <x:v>Rev3M +57.5%; Accel3M +8.4ppt; Stock3M +28.2%; EV/EBITDA 10.1x (85th pct); PeakRatio36M 44%; Multiple3M -16.6%; Earnings-Price Gap +29.3%; CycleHeat 71%. Forward EBITDA revisions have turned positive and are accelerating, but EBITDA remains well below its recent peak.</x:v>
      </x:c>
    </x:row>
    <x:row r="78">
      <x:c r="A78" s="32" t="n">
        <x:v>45351</x:v>
      </x:c>
      <x:c r="B78" s="33" t="n">
        <x:v>1.2036</x:v>
      </x:c>
      <x:c r="C78" s="40" t="n">
        <x:f>IFERROR((1+B78)/(1+B77)-1,"")</x:f>
        <x:v>0.05667977366452481</x:v>
      </x:c>
      <x:c r="D78" s="40" t="n">
        <x:f>IFERROR((1+B78)/(1+B75)-1,"")</x:f>
        <x:v>0.19036300777873794</x:v>
      </x:c>
      <x:c r="E78" s="40" t="n">
        <x:f>IFERROR((1+B78)/(1+B72)-1,"")</x:f>
        <x:v>0.29554941501557996</x:v>
      </x:c>
      <x:c r="F78" s="36" t="n">
        <x:v>10.195010298143075</x:v>
      </x:c>
      <x:c r="G78" s="40" t="n">
        <x:f>IFERROR(F78/F75-1,"")</x:f>
        <x:v>-0.2283039466886133</x:v>
      </x:c>
      <x:c r="H78" s="38" t="n">
        <x:v>9.967318369884277</x:v>
      </x:c>
      <x:c r="I78" s="40" t="n">
        <x:f>IFERROR(H78/H77-1,"")</x:f>
        <x:v>0</x:v>
      </x:c>
      <x:c r="J78" s="40" t="n">
        <x:f>IFERROR(H78/H75-1,"")</x:f>
        <x:v>0.49079833106436555</x:v>
      </x:c>
      <x:c r="K78" s="40" t="n">
        <x:f>IFERROR(H78/H72-1,"")</x:f>
        <x:v>1.3483219838183098</x:v>
      </x:c>
      <x:c r="L78" s="40" t="n">
        <x:f>IFERROR(J78-J77,"")</x:f>
        <x:v>-0.08441270512032717</x:v>
      </x:c>
      <x:c r="M78" s="40" t="n">
        <x:f>IFERROR(J78-D78,"")</x:f>
        <x:v>0.3004353232856276</x:v>
      </x:c>
      <x:c r="N78" s="42" t="str">
        <x:f>IF(J78&lt;0,IF(D78&lt;0,"Down-cycle","Price up / earnings down"),IF(AND(J78&gt;0,L78&lt;0,M78&lt;-0.15),"Late-cycle warning",IF(AND(J78&gt;0,M78&gt;0),"Earnings-led expansion",IF(AND(J78&gt;0,D78&lt;0),"Potential dislocation",IF(AND(J78&gt;0,M78&lt;0),"Price ahead / rerating","Neutral")))))</x:f>
        <x:v>Earnings-led expansion</x:v>
      </x:c>
      <x:c r="O78" s="40" t="n">
        <x:v>-0.08441270512032739</x:v>
      </x:c>
      <x:c r="P78" s="40" t="n">
        <x:v>0.9852941176470589</x:v>
      </x:c>
      <x:c r="Q78" s="40" t="n">
        <x:v>0.3234216831604908</x:v>
      </x:c>
      <x:c r="R78" s="40" t="n">
        <x:v>0.8474690152364696</x:v>
      </x:c>
      <x:c r="S78" s="40" t="n">
        <x:v>0.15253098476353044</x:v>
      </x:c>
      <x:c r="T78" s="40" t="n">
        <x:v>0.8378980785591954</x:v>
      </x:c>
      <x:c r="U78" s="40" t="n">
        <x:v>0.437725936166178</x:v>
      </x:c>
      <x:c r="V78" s="40" t="n">
        <x:v>0.6237941746311384</x:v>
      </x:c>
      <x:c r="W78" s="64" t="str">
        <x:v>Stage 13 – Mixed / Transition</x:v>
      </x:c>
      <x:c r="X78" s="64" t="str">
        <x:v>Rev3M +49.1%; Accel3M -8.4ppt; Stock3M +19.0%; EV/EBITDA 10.2x (85th pct); PeakRatio36M 44%; Multiple3M -22.8%; Earnings-Price Gap +30.0%; CycleHeat 62%. Signals do not fit one dominant state; treat as a transition and require confirmation from the next 1–3 monthly observations.</x:v>
      </x:c>
    </x:row>
    <x:row r="79">
      <x:c r="A79" s="32" t="n">
        <x:v>45382</x:v>
      </x:c>
      <x:c r="B79" s="33" t="n">
        <x:v>1.867</x:v>
      </x:c>
      <x:c r="C79" s="40" t="n">
        <x:f>IFERROR((1+B79)/(1+B78)-1,"")</x:f>
        <x:v>0.30105282265383937</x:v>
      </x:c>
      <x:c r="D79" s="40" t="n">
        <x:f>IFERROR((1+B79)/(1+B76)-1,"")</x:f>
        <x:v>0.3814204490700588</x:v>
      </x:c>
      <x:c r="E79" s="40" t="n">
        <x:f>IFERROR((1+B79)/(1+B73)-1,"")</x:f>
        <x:v>0.7329545454545456</x:v>
      </x:c>
      <x:c r="F79" s="36" t="n">
        <x:v>10.255931480074665</x:v>
      </x:c>
      <x:c r="G79" s="40" t="n">
        <x:f>IFERROR(F79/F76-1,"")</x:f>
        <x:v>0.04569688410712347</x:v>
      </x:c>
      <x:c r="H79" s="38" t="n">
        <x:v>10.900541769726706</x:v>
      </x:c>
      <x:c r="I79" s="40" t="n">
        <x:f>IFERROR(H79/H78-1,"")</x:f>
        <x:v>0.0936283326378049</x:v>
      </x:c>
      <x:c r="J79" s="40" t="n">
        <x:f>IFERROR(H79/H76-1,"")</x:f>
        <x:v>0.28126604184304327</x:v>
      </x:c>
      <x:c r="K79" s="40" t="n">
        <x:f>IFERROR(H79/H73-1,"")</x:f>
        <x:v>0.8582249622928737</x:v>
      </x:c>
      <x:c r="L79" s="40" t="n">
        <x:f>IFERROR(J79-J78,"")</x:f>
        <x:v>-0.20953228922132228</x:v>
      </x:c>
      <x:c r="M79" s="40" t="n">
        <x:f>IFERROR(J79-D79,"")</x:f>
        <x:v>-0.10015440722701552</x:v>
      </x:c>
      <x:c r="N79" s="42" t="str">
        <x:f>IF(J79&lt;0,IF(D79&lt;0,"Down-cycle","Price up / earnings down"),IF(AND(J79&gt;0,L79&lt;0,M79&lt;-0.15),"Late-cycle warning",IF(AND(J79&gt;0,M79&gt;0),"Earnings-led expansion",IF(AND(J79&gt;0,D79&lt;0),"Potential dislocation",IF(AND(J79&gt;0,M79&lt;0),"Price ahead / rerating","Neutral")))))</x:f>
        <x:v>Price ahead / rerating</x:v>
      </x:c>
      <x:c r="O79" s="40" t="n">
        <x:v>-0.16903772147210794</x:v>
      </x:c>
      <x:c r="P79" s="40" t="n">
        <x:v>0.8764097727464948</x:v>
      </x:c>
      <x:c r="Q79" s="40" t="n">
        <x:v>0.18498415715441116</x:v>
      </x:c>
      <x:c r="R79" s="40" t="n">
        <x:v>0.8478463436965061</x:v>
      </x:c>
      <x:c r="S79" s="40" t="n">
        <x:v>0.15215365630349387</x:v>
      </x:c>
      <x:c r="T79" s="40" t="n">
        <x:v>0.9398500716734897</x:v>
      </x:c>
      <x:c r="U79" s="40" t="n">
        <x:v>0.4787094857217395</x:v>
      </x:c>
      <x:c r="V79" s="40" t="n">
        <x:v>0.5713902053452726</x:v>
      </x:c>
      <x:c r="W79" s="64" t="str">
        <x:v>Stage 13 – Mixed / Transition</x:v>
      </x:c>
      <x:c r="X79" s="64" t="str">
        <x:v>Rev3M +28.1%; Accel3M -16.9ppt; Stock3M +38.1%; EV/EBITDA 10.3x (85th pct); PeakRatio36M 48%; Multiple3M +4.6%; Earnings-Price Gap -10.0%; CycleHeat 57%. Signals do not fit one dominant state; treat as a transition and require confirmation from the next 1–3 monthly observations.</x:v>
      </x:c>
    </x:row>
    <x:row r="80">
      <x:c r="A80" s="32" t="n">
        <x:v>45412</x:v>
      </x:c>
      <x:c r="B80" s="33" t="n">
        <x:v>1.7471</x:v>
      </x:c>
      <x:c r="C80" s="40" t="n">
        <x:f>IFERROR((1+B80)/(1+B79)-1,"")</x:f>
        <x:v>-0.04182071852110214</x:v>
      </x:c>
      <x:c r="D80" s="40" t="n">
        <x:f>IFERROR((1+B80)/(1+B77)-1,"")</x:f>
        <x:v>0.31730123717272485</x:v>
      </x:c>
      <x:c r="E80" s="40" t="n">
        <x:f>IFERROR((1+B80)/(1+B74)-1,"")</x:f>
        <x:v>0.6892756118558605</x:v>
      </x:c>
      <x:c r="F80" s="36" t="n">
        <x:v>10.044285858465583</x:v>
      </x:c>
      <x:c r="G80" s="40" t="n">
        <x:f>IFERROR(F80/F77-1,"")</x:f>
        <x:v>-0.008896893897823999</x:v>
      </x:c>
      <x:c r="H80" s="38" t="n">
        <x:v>12.947848476242926</x:v>
      </x:c>
      <x:c r="I80" s="40" t="n">
        <x:f>IFERROR(H80/H79-1,"")</x:f>
        <x:v>0.18781696816226678</x:v>
      </x:c>
      <x:c r="J80" s="40" t="n">
        <x:f>IFERROR(H80/H77-1,"")</x:f>
        <x:v>0.2990302903701927</x:v>
      </x:c>
      <x:c r="K80" s="40" t="n">
        <x:f>IFERROR(H80/H74-1,"")</x:f>
        <x:v>1.0462468497293336</x:v>
      </x:c>
      <x:c r="L80" s="40" t="n">
        <x:f>IFERROR(J80-J79,"")</x:f>
        <x:v>0.017764248527149418</x:v>
      </x:c>
      <x:c r="M80" s="40" t="n">
        <x:f>IFERROR(J80-D80,"")</x:f>
        <x:v>-0.018270946802532162</x:v>
      </x:c>
      <x:c r="N80" s="42" t="str">
        <x:f>IF(J80&lt;0,IF(D80&lt;0,"Down-cycle","Price up / earnings down"),IF(AND(J80&gt;0,L80&lt;0,M80&lt;-0.15),"Late-cycle warning",IF(AND(J80&gt;0,M80&gt;0),"Earnings-led expansion",IF(AND(J80&gt;0,D80&lt;0),"Potential dislocation",IF(AND(J80&gt;0,M80&lt;0),"Price ahead / rerating","Neutral")))))</x:f>
        <x:v>Price ahead / rerating</x:v>
      </x:c>
      <x:c r="O80" s="40" t="n">
        <x:v>-0.27618074581450003</x:v>
      </x:c>
      <x:c r="P80" s="40" t="n">
        <x:v>0.8823529411764699</x:v>
      </x:c>
      <x:c r="Q80" s="40" t="n">
        <x:v>0.10551767162132336</x:v>
      </x:c>
      <x:c r="R80" s="40" t="n">
        <x:v>0.8465354709599114</x:v>
      </x:c>
      <x:c r="S80" s="40" t="n">
        <x:v>0.15346452904008856</x:v>
      </x:c>
      <x:c r="T80" s="40" t="n">
        <x:v>0.9274378608223229</x:v>
      </x:c>
      <x:c r="U80" s="40" t="n">
        <x:v>0.5686192499605146</x:v>
      </x:c>
      <x:c r="V80" s="40" t="n">
        <x:v>0.5513834252895775</x:v>
      </x:c>
      <x:c r="W80" s="64" t="str">
        <x:v>Stage 13 – Mixed / Transition</x:v>
      </x:c>
      <x:c r="X80" s="64" t="str">
        <x:v>Rev3M +29.9%; Accel3M -27.6ppt; Stock3M +31.7%; EV/EBITDA 10.0x (85th pct); PeakRatio36M 57%; Multiple3M -0.9%; Earnings-Price Gap -1.8%; CycleHeat 55%. Signals do not fit one dominant state; treat as a transition and require confirmation from the next 1–3 monthly observations.</x:v>
      </x:c>
    </x:row>
    <x:row r="81">
      <x:c r="A81" s="32" t="n">
        <x:v>45443</x:v>
      </x:c>
      <x:c r="B81" s="33" t="n">
        <x:v>2.0399</x:v>
      </x:c>
      <x:c r="C81" s="40" t="n">
        <x:f>IFERROR((1+B81)/(1+B80)-1,"")</x:f>
        <x:v>0.10658512613301285</x:v>
      </x:c>
      <x:c r="D81" s="40" t="n">
        <x:f>IFERROR((1+B81)/(1+B78)-1,"")</x:f>
        <x:v>0.37951533853693964</x:v>
      </x:c>
      <x:c r="E81" s="40" t="n">
        <x:f>IFERROR((1+B81)/(1+B75)-1,"")</x:f>
        <x:v>0.6421240276577356</x:v>
      </x:c>
      <x:c r="F81" s="36" t="n">
        <x:v>11.315347641592956</x:v>
      </x:c>
      <x:c r="G81" s="40" t="n">
        <x:f>IFERROR(F81/F78-1,"")</x:f>
        <x:v>0.10989075152321726</x:v>
      </x:c>
      <x:c r="H81" s="38" t="n">
        <x:v>12.947848476242926</x:v>
      </x:c>
      <x:c r="I81" s="40" t="n">
        <x:f>IFERROR(H81/H80-1,"")</x:f>
        <x:v>0</x:v>
      </x:c>
      <x:c r="J81" s="40" t="n">
        <x:f>IFERROR(H81/H78-1,"")</x:f>
        <x:v>0.2990302903701927</x:v>
      </x:c>
      <x:c r="K81" s="40" t="n">
        <x:f>IFERROR(H81/H75-1,"")</x:f>
        <x:v>0.9365921888859412</x:v>
      </x:c>
      <x:c r="L81" s="40" t="n">
        <x:f>IFERROR(J81-J80,"")</x:f>
        <x:v>0</x:v>
      </x:c>
      <x:c r="M81" s="40" t="n">
        <x:f>IFERROR(J81-D81,"")</x:f>
        <x:v>-0.08048504816674695</x:v>
      </x:c>
      <x:c r="N81" s="42" t="str">
        <x:f>IF(J81&lt;0,IF(D81&lt;0,"Down-cycle","Price up / earnings down"),IF(AND(J81&gt;0,L81&lt;0,M81&lt;-0.15),"Late-cycle warning",IF(AND(J81&gt;0,M81&gt;0),"Earnings-led expansion",IF(AND(J81&gt;0,D81&lt;0),"Potential dislocation",IF(AND(J81&gt;0,M81&lt;0),"Price ahead / rerating","Neutral")))))</x:f>
        <x:v>Price ahead / rerating</x:v>
      </x:c>
      <x:c r="O81" s="40" t="n">
        <x:v>-0.19176804069417286</x:v>
      </x:c>
      <x:c r="P81" s="40" t="n">
        <x:v>0.8823529411764699</x:v>
      </x:c>
      <x:c r="Q81" s="40" t="n">
        <x:v>0.17901052210915605</x:v>
      </x:c>
      <x:c r="R81" s="40" t="n">
        <x:v>0.8544080658445182</x:v>
      </x:c>
      <x:c r="S81" s="40" t="n">
        <x:v>0.14559193415548177</x:v>
      </x:c>
      <x:c r="T81" s="40" t="n">
        <x:v>0.9394812799661039</x:v>
      </x:c>
      <x:c r="U81" s="40" t="n">
        <x:v>0.5686192499605146</x:v>
      </x:c>
      <x:c r="V81" s="40" t="n">
        <x:v>0.5705908027633706</x:v>
      </x:c>
      <x:c r="W81" s="64" t="str">
        <x:v>Stage 13 – Mixed / Transition</x:v>
      </x:c>
      <x:c r="X81" s="64" t="str">
        <x:v>Rev3M +29.9%; Accel3M -19.2ppt; Stock3M +38.0%; EV/EBITDA 11.3x (85th pct); PeakRatio36M 57%; Multiple3M +11.0%; Earnings-Price Gap -8.0%; CycleHeat 57%. Signals do not fit one dominant state; treat as a transition and require confirmation from the next 1–3 monthly observations.</x:v>
      </x:c>
    </x:row>
    <x:row r="82">
      <x:c r="A82" s="32" t="n">
        <x:v>45473</x:v>
      </x:c>
      <x:c r="B82" s="33" t="n">
        <x:v>2.1987</x:v>
      </x:c>
      <x:c r="C82" s="40" t="n">
        <x:f>IFERROR((1+B82)/(1+B81)-1,"")</x:f>
        <x:v>0.05223856047896325</x:v>
      </x:c>
      <x:c r="D82" s="40" t="n">
        <x:f>IFERROR((1+B82)/(1+B79)-1,"")</x:f>
        <x:v>0.11569584931984656</x:v>
      </x:c>
      <x:c r="E82" s="40" t="n">
        <x:f>IFERROR((1+B82)/(1+B76)-1,"")</x:f>
        <x:v>0.5412450611930231</x:v>
      </x:c>
      <x:c r="F82" s="36" t="n">
        <x:v>9.131034725499251</x:v>
      </x:c>
      <x:c r="G82" s="40" t="n">
        <x:f>IFERROR(F82/F79-1,"")</x:f>
        <x:v>-0.10968255362868551</x:v>
      </x:c>
      <x:c r="H82" s="38" t="n">
        <x:v>18.142898765681778</x:v>
      </x:c>
      <x:c r="I82" s="40" t="n">
        <x:f>IFERROR(H82/H81-1,"")</x:f>
        <x:v>0.40122884500624756</x:v>
      </x:c>
      <x:c r="J82" s="40" t="n">
        <x:f>IFERROR(H82/H79-1,"")</x:f>
        <x:v>0.6644033983768358</x:v>
      </x:c>
      <x:c r="K82" s="40" t="n">
        <x:f>IFERROR(H82/H76-1,"")</x:f>
        <x:v>1.1325435542683984</x:v>
      </x:c>
      <x:c r="L82" s="40" t="n">
        <x:f>IFERROR(J82-J81,"")</x:f>
        <x:v>0.36537310800664313</x:v>
      </x:c>
      <x:c r="M82" s="40" t="n">
        <x:f>IFERROR(J82-D82,"")</x:f>
        <x:v>0.5487075490569893</x:v>
      </x:c>
      <x:c r="N82" s="42" t="str">
        <x:f>IF(J82&lt;0,IF(D82&lt;0,"Down-cycle","Price up / earnings down"),IF(AND(J82&gt;0,L82&lt;0,M82&lt;-0.15),"Late-cycle warning",IF(AND(J82&gt;0,M82&gt;0),"Earnings-led expansion",IF(AND(J82&gt;0,D82&lt;0),"Potential dislocation",IF(AND(J82&gt;0,M82&lt;0),"Price ahead / rerating","Neutral")))))</x:f>
        <x:v>Earnings-led expansion</x:v>
      </x:c>
      <x:c r="O82" s="40" t="n">
        <x:v>0.38313735653379255</x:v>
      </x:c>
      <x:c r="P82" s="40" t="n">
        <x:v>1</x:v>
      </x:c>
      <x:c r="Q82" s="40" t="n">
        <x:v>0.9308656727612694</x:v>
      </x:c>
      <x:c r="R82" s="40" t="n">
        <x:v>0.83748152392014</x:v>
      </x:c>
      <x:c r="S82" s="40" t="n">
        <x:v>0.16251847607986003</x:v>
      </x:c>
      <x:c r="T82" s="40" t="n">
        <x:v>0.7440466476290897</x:v>
      </x:c>
      <x:c r="U82" s="40" t="n">
        <x:v>0.7967656948704906</x:v>
      </x:c>
      <x:c r="V82" s="40" t="n">
        <x:v>0.7640294429321072</x:v>
      </x:c>
      <x:c r="W82" s="64" t="str">
        <x:v>Stage 7 – Earnings Acceleration</x:v>
      </x:c>
      <x:c r="X82" s="64" t="str">
        <x:v>Rev3M +66.4%; Accel3M +38.3ppt; Stock3M +11.6%; EV/EBITDA 9.1x (84th pct); PeakRatio36M 80%; Multiple3M -11.0%; Earnings-Price Gap +54.9%; CycleHeat 76%. EBITDA revision strength is in a high historical percentile and revision momentum is still accelerating.</x:v>
      </x:c>
    </x:row>
    <x:row r="83">
      <x:c r="A83" s="32" t="n">
        <x:v>45504</x:v>
      </x:c>
      <x:c r="B83" s="33" t="n">
        <x:v>1.6707</x:v>
      </x:c>
      <x:c r="C83" s="40" t="n">
        <x:f>IFERROR((1+B83)/(1+B82)-1,"")</x:f>
        <x:v>-0.16506705849251258</x:v>
      </x:c>
      <x:c r="D83" s="40" t="n">
        <x:f>IFERROR((1+B83)/(1+B80)-1,"")</x:f>
        <x:v>-0.027811146299734246</x:v>
      </x:c>
      <x:c r="E83" s="40" t="n">
        <x:f>IFERROR((1+B83)/(1+B77)-1,"")</x:f>
        <x:v>0.28066557974489315</x:v>
      </x:c>
      <x:c r="F83" s="36" t="n">
        <x:v>6.619087680197544</x:v>
      </x:c>
      <x:c r="G83" s="40" t="n">
        <x:f>IFERROR(F83/F80-1,"")</x:f>
        <x:v>-0.3410096274172836</x:v>
      </x:c>
      <x:c r="H83" s="38" t="n">
        <x:v>18.778313371929496</x:v>
      </x:c>
      <x:c r="I83" s="40" t="n">
        <x:f>IFERROR(H83/H82-1,"")</x:f>
        <x:v>0.03502277196462322</x:v>
      </x:c>
      <x:c r="J83" s="40" t="n">
        <x:f>IFERROR(H83/H80-1,"")</x:f>
        <x:v>0.45030376331515387</x:v>
      </x:c>
      <x:c r="K83" s="40" t="n">
        <x:f>IFERROR(H83/H77-1,"")</x:f>
        <x:v>0.8839885187842673</x:v>
      </x:c>
      <x:c r="L83" s="40" t="n">
        <x:f>IFERROR(J83-J82,"")</x:f>
        <x:v>-0.21409963506168195</x:v>
      </x:c>
      <x:c r="M83" s="40" t="n">
        <x:f>IFERROR(J83-D83,"")</x:f>
        <x:v>0.4781149096148881</x:v>
      </x:c>
      <x:c r="N83" s="42" t="str">
        <x:f>IF(J83&lt;0,IF(D83&lt;0,"Down-cycle","Price up / earnings down"),IF(AND(J83&gt;0,L83&lt;0,M83&lt;-0.15),"Late-cycle warning",IF(AND(J83&gt;0,M83&gt;0),"Earnings-led expansion",IF(AND(J83&gt;0,D83&lt;0),"Potential dislocation",IF(AND(J83&gt;0,M83&lt;0),"Price ahead / rerating","Neutral")))))</x:f>
        <x:v>Earnings-led expansion</x:v>
      </x:c>
      <x:c r="O83" s="40" t="n">
        <x:v>0.15127347294496118</x:v>
      </x:c>
      <x:c r="P83" s="40" t="n">
        <x:v>0.9558823529411777</x:v>
      </x:c>
      <x:c r="Q83" s="40" t="n">
        <x:v>0.7789279173064557</x:v>
      </x:c>
      <x:c r="R83" s="40" t="n">
        <x:v>0.7183098591549296</x:v>
      </x:c>
      <x:c r="S83" s="40" t="n">
        <x:v>0.2816901408450704</x:v>
      </x:c>
      <x:c r="T83" s="40" t="n">
        <x:v>0.3861426691229772</x:v>
      </x:c>
      <x:c r="U83" s="40" t="n">
        <x:v>0.8246706381111745</x:v>
      </x:c>
      <x:c r="V83" s="40" t="n">
        <x:v>0.6628573648496356</x:v>
      </x:c>
      <x:c r="W83" s="64" t="str">
        <x:v>Stage 7 – Earnings Acceleration</x:v>
      </x:c>
      <x:c r="X83" s="64" t="str">
        <x:v>Rev3M +45.0%; Accel3M +15.1ppt; Stock3M -2.8%; EV/EBITDA 6.6x (72th pct); PeakRatio36M 82%; Multiple3M -34.1%; Earnings-Price Gap +47.8%; CycleHeat 66%. EBITDA revision strength is in a high historical percentile and revision momentum is still accelerating.</x:v>
      </x:c>
    </x:row>
    <x:row r="84">
      <x:c r="A84" s="32" t="n">
        <x:v>45535</x:v>
      </x:c>
      <x:c r="B84" s="33" t="n">
        <x:v>1.3405</x:v>
      </x:c>
      <x:c r="C84" s="40" t="n">
        <x:f>IFERROR((1+B84)/(1+B83)-1,"")</x:f>
        <x:v>-0.12363799752873783</x:v>
      </x:c>
      <x:c r="D84" s="40" t="n">
        <x:f>IFERROR((1+B84)/(1+B81)-1,"")</x:f>
        <x:v>-0.23007335767623927</x:v>
      </x:c>
      <x:c r="E84" s="40" t="n">
        <x:f>IFERROR((1+B84)/(1+B78)-1,"")</x:f>
        <x:v>0.06212561263387206</x:v>
      </x:c>
      <x:c r="F84" s="36" t="n">
        <x:v>6.599399402472914</x:v>
      </x:c>
      <x:c r="G84" s="40" t="n">
        <x:f>IFERROR(F84/F81-1,"")</x:f>
        <x:v>-0.4167744897015059</x:v>
      </x:c>
      <x:c r="H84" s="38" t="n">
        <x:v>18.52151980203928</x:v>
      </x:c>
      <x:c r="I84" s="40" t="n">
        <x:f>IFERROR(H84/H83-1,"")</x:f>
        <x:v>-0.013675007164066222</x:v>
      </x:c>
      <x:c r="J84" s="40" t="n">
        <x:f>IFERROR(H84/H81-1,"")</x:f>
        <x:v>0.4304708489617468</x:v>
      </x:c>
      <x:c r="K84" s="40" t="n">
        <x:f>IFERROR(H84/H78-1,"")</x:f>
        <x:v>0.8582249622928739</x:v>
      </x:c>
      <x:c r="L84" s="40" t="n">
        <x:f>IFERROR(J84-J83,"")</x:f>
        <x:v>-0.01983291435340706</x:v>
      </x:c>
      <x:c r="M84" s="40" t="n">
        <x:f>IFERROR(J84-D84,"")</x:f>
        <x:v>0.6605442066379861</x:v>
      </x:c>
      <x:c r="N84" s="42" t="str">
        <x:f>IF(J84&lt;0,IF(D84&lt;0,"Down-cycle","Price up / earnings down"),IF(AND(J84&gt;0,L84&lt;0,M84&lt;-0.15),"Late-cycle warning",IF(AND(J84&gt;0,M84&gt;0),"Earnings-led expansion",IF(AND(J84&gt;0,D84&lt;0),"Potential dislocation",IF(AND(J84&gt;0,M84&lt;0),"Price ahead / rerating","Neutral")))))</x:f>
        <x:v>Earnings-led expansion</x:v>
      </x:c>
      <x:c r="O84" s="40" t="n">
        <x:v>0.13144055859155412</x:v>
      </x:c>
      <x:c r="P84" s="40" t="n">
        <x:v>0.9460447219040942</x:v>
      </x:c>
      <x:c r="Q84" s="40" t="n">
        <x:v>0.7252379481177009</x:v>
      </x:c>
      <x:c r="R84" s="40" t="n">
        <x:v>0.7136010310934542</x:v>
      </x:c>
      <x:c r="S84" s="40" t="n">
        <x:v>0.2863989689065458</x:v>
      </x:c>
      <x:c r="T84" s="40" t="n">
        <x:v>0.06267682597459628</x:v>
      </x:c>
      <x:c r="U84" s="40" t="n">
        <x:v>0.8133932612270091</x:v>
      </x:c>
      <x:c r="V84" s="40" t="n">
        <x:v>0.5822402986720866</x:v>
      </x:c>
      <x:c r="W84" s="64" t="str">
        <x:v>Stage 7 – Earnings Acceleration</x:v>
      </x:c>
      <x:c r="X84" s="64" t="str">
        <x:v>Rev3M +43.0%; Accel3M +13.1ppt; Stock3M -23.0%; EV/EBITDA 6.6x (71th pct); PeakRatio36M 81%; Multiple3M -41.7%; Earnings-Price Gap +66.1%; CycleHeat 58%. EBITDA revision strength is in a high historical percentile and revision momentum is still accelerating.</x:v>
      </x:c>
    </x:row>
    <x:row r="85">
      <x:c r="A85" s="32" t="n">
        <x:v>45565</x:v>
      </x:c>
      <x:c r="B85" s="33" t="n">
        <x:v>1.5221</x:v>
      </x:c>
      <x:c r="C85" s="40" t="n">
        <x:f>IFERROR((1+B85)/(1+B84)-1,"")</x:f>
        <x:v>0.07759025849177514</x:v>
      </x:c>
      <x:c r="D85" s="40" t="n">
        <x:f>IFERROR((1+B85)/(1+B82)-1,"")</x:f>
        <x:v>-0.21152343139400387</x:v>
      </x:c>
      <x:c r="E85" s="40" t="n">
        <x:f>IFERROR((1+B85)/(1+B79)-1,"")</x:f>
        <x:v>-0.1202999651203348</x:v>
      </x:c>
      <x:c r="F85" s="36" t="n">
        <x:v>6.23625285039564</x:v>
      </x:c>
      <x:c r="G85" s="40" t="n">
        <x:f>IFERROR(F85/F82-1,"")</x:f>
        <x:v>-0.3170267075011409</x:v>
      </x:c>
      <x:c r="H85" s="38" t="n">
        <x:v>18.268237886056994</x:v>
      </x:c>
      <x:c r="I85" s="40" t="n">
        <x:f>IFERROR(H85/H84-1,"")</x:f>
        <x:v>-0.013675007164066444</x:v>
      </x:c>
      <x:c r="J85" s="40" t="n">
        <x:f>IFERROR(H85/H82-1,"")</x:f>
        <x:v>0.006908439604607297</x:v>
      </x:c>
      <x:c r="K85" s="40" t="n">
        <x:f>IFERROR(H85/H79-1,"")</x:f>
        <x:v>0.6759018287322254</x:v>
      </x:c>
      <x:c r="L85" s="40" t="n">
        <x:f>IFERROR(J85-J84,"")</x:f>
        <x:v>-0.4235624093571395</x:v>
      </x:c>
      <x:c r="M85" s="40" t="n">
        <x:f>IFERROR(J85-D85,"")</x:f>
        <x:v>0.21843187099861117</x:v>
      </x:c>
      <x:c r="N85" s="42" t="str">
        <x:f>IF(J85&lt;0,IF(D85&lt;0,"Down-cycle","Price up / earnings down"),IF(AND(J85&gt;0,L85&lt;0,M85&lt;-0.15),"Late-cycle warning",IF(AND(J85&gt;0,M85&gt;0),"Earnings-led expansion",IF(AND(J85&gt;0,D85&lt;0),"Potential dislocation",IF(AND(J85&gt;0,M85&lt;0),"Price ahead / rerating","Neutral")))))</x:f>
        <x:v>Earnings-led expansion</x:v>
      </x:c>
      <x:c r="O85" s="40" t="n">
        <x:v>-0.6574949587722285</x:v>
      </x:c>
      <x:c r="P85" s="40" t="n">
        <x:v>0.48035836994602893</x:v>
      </x:c>
      <x:c r="Q85" s="40" t="n">
        <x:v>0.003493874972048045</x:v>
      </x:c>
      <x:c r="R85" s="40" t="n">
        <x:v>0.6818027655287318</x:v>
      </x:c>
      <x:c r="S85" s="40" t="n">
        <x:v>0.31819723447126824</x:v>
      </x:c>
      <x:c r="T85" s="40" t="n">
        <x:v>0.0795727299805646</x:v>
      </x:c>
      <x:c r="U85" s="40" t="n">
        <x:v>0.8022701025525263</x:v>
      </x:c>
      <x:c r="V85" s="40" t="n">
        <x:v>0.2485528911144887</x:v>
      </x:c>
      <x:c r="W85" s="64" t="str">
        <x:v>Stage 10 – Price-Led Roll-over</x:v>
      </x:c>
      <x:c r="X85" s="64" t="str">
        <x:v>Rev3M +0.7%; Accel3M -65.7ppt; Stock3M -21.2%; EV/EBITDA 6.2x (68th pct); PeakRatio36M 80%; Multiple3M -31.7%; Earnings-Price Gap +21.8%; CycleHeat 25%. The stock has turned negative before forward EBITDA revisions have turned negative; price may be leading a future earnings slowdown.</x:v>
      </x:c>
    </x:row>
    <x:row r="86">
      <x:c r="A86" s="32" t="n">
        <x:v>45596</x:v>
      </x:c>
      <x:c r="B86" s="33" t="n">
        <x:v>1.4234</x:v>
      </x:c>
      <x:c r="C86" s="40" t="n">
        <x:f>IFERROR((1+B86)/(1+B85)-1,"")</x:f>
        <x:v>-0.039134054954204855</x:v>
      </x:c>
      <x:c r="D86" s="40" t="n">
        <x:f>IFERROR((1+B86)/(1+B83)-1,"")</x:f>
        <x:v>-0.09259744636237688</x:v>
      </x:c>
      <x:c r="E86" s="40" t="n">
        <x:f>IFERROR((1+B86)/(1+B80)-1,"")</x:f>
        <x:v>-0.11783335153434538</x:v>
      </x:c>
      <x:c r="F86" s="36" t="n">
        <x:v>6.424819407006752</x:v>
      </x:c>
      <x:c r="G86" s="40" t="n">
        <x:f>IFERROR(F86/F83-1,"")</x:f>
        <x:v>-0.029349705363775125</x:v>
      </x:c>
      <x:c r="H86" s="38" t="n">
        <x:v>19.302630899257274</x:v>
      </x:c>
      <x:c r="I86" s="40" t="n">
        <x:f>IFERROR(H86/H85-1,"")</x:f>
        <x:v>0.05662248431687922</x:v>
      </x:c>
      <x:c r="J86" s="40" t="n">
        <x:f>IFERROR(H86/H83-1,"")</x:f>
        <x:v>0.027921438786485897</x:v>
      </x:c>
      <x:c r="K86" s="40" t="n">
        <x:f>IFERROR(H86/H80-1,"")</x:f>
        <x:v>0.490798331064368</x:v>
      </x:c>
      <x:c r="L86" s="40" t="n">
        <x:f>IFERROR(J86-J85,"")</x:f>
        <x:v>0.0210129991818786</x:v>
      </x:c>
      <x:c r="M86" s="40" t="n">
        <x:f>IFERROR(J86-D86,"")</x:f>
        <x:v>0.12051888514886278</x:v>
      </x:c>
      <x:c r="N86" s="42" t="str">
        <x:f>IF(J86&lt;0,IF(D86&lt;0,"Down-cycle","Price up / earnings down"),IF(AND(J86&gt;0,L86&lt;0,M86&lt;-0.15),"Late-cycle warning",IF(AND(J86&gt;0,M86&gt;0),"Earnings-led expansion",IF(AND(J86&gt;0,D86&lt;0),"Potential dislocation",IF(AND(J86&gt;0,M86&lt;0),"Price ahead / rerating","Neutral")))))</x:f>
        <x:v>Earnings-led expansion</x:v>
      </x:c>
      <x:c r="O86" s="40" t="n">
        <x:v>-0.422382324528668</x:v>
      </x:c>
      <x:c r="P86" s="40" t="n">
        <x:v>0.5147058823529411</x:v>
      </x:c>
      <x:c r="Q86" s="40" t="n">
        <x:v>0.043293057163210455</x:v>
      </x:c>
      <x:c r="R86" s="40" t="n">
        <x:v>0.6877229486598937</x:v>
      </x:c>
      <x:c r="S86" s="40" t="n">
        <x:v>0.3122770513401063</x:v>
      </x:c>
      <x:c r="T86" s="40" t="n">
        <x:v>0.26542019393740335</x:v>
      </x:c>
      <x:c r="U86" s="40" t="n">
        <x:v>0.8476966288522078</x:v>
      </x:c>
      <x:c r="V86" s="40" t="n">
        <x:v>0.30650977216983394</x:v>
      </x:c>
      <x:c r="W86" s="64" t="str">
        <x:v>Stage 10 – Price-Led Roll-over</x:v>
      </x:c>
      <x:c r="X86" s="64" t="str">
        <x:v>Rev3M +2.8%; Accel3M -42.2ppt; Stock3M -9.3%; EV/EBITDA 6.4x (69th pct); PeakRatio36M 85%; Multiple3M -2.9%; Earnings-Price Gap +12.1%; CycleHeat 31%. The stock has turned negative before forward EBITDA revisions have turned negative; price may be leading a future earnings slowdown.</x:v>
      </x:c>
    </x:row>
    <x:row r="87">
      <x:c r="A87" s="32" t="n">
        <x:v>45626</x:v>
      </x:c>
      <x:c r="B87" s="33" t="n">
        <x:v>1.3821</x:v>
      </x:c>
      <x:c r="C87" s="40" t="n">
        <x:f>IFERROR((1+B87)/(1+B86)-1,"")</x:f>
        <x:v>-0.01704217215482362</x:v>
      </x:c>
      <x:c r="D87" s="40" t="n">
        <x:f>IFERROR((1+B87)/(1+B84)-1,"")</x:f>
        <x:v>0.017773979918820793</x:v>
      </x:c>
      <x:c r="E87" s="40" t="n">
        <x:f>IFERROR((1+B87)/(1+B81)-1,"")</x:f>
        <x:v>-0.21638869699661156</x:v>
      </x:c>
      <x:c r="F87" s="36" t="n">
        <x:v>6.017263975822472</x:v>
      </x:c>
      <x:c r="G87" s="40" t="n">
        <x:f>IFERROR(F87/F84-1,"")</x:f>
        <x:v>-0.08821036448139574</x:v>
      </x:c>
      <x:c r="H87" s="38" t="n">
        <x:v>19.302630899257274</x:v>
      </x:c>
      <x:c r="I87" s="40" t="n">
        <x:f>IFERROR(H87/H86-1,"")</x:f>
        <x:v>0</x:v>
      </x:c>
      <x:c r="J87" s="40" t="n">
        <x:f>IFERROR(H87/H84-1,"")</x:f>
        <x:v>0.04217316427413209</x:v>
      </x:c>
      <x:c r="K87" s="40" t="n">
        <x:f>IFERROR(H87/H81-1,"")</x:f>
        <x:v>0.490798331064368</x:v>
      </x:c>
      <x:c r="L87" s="40" t="n">
        <x:f>IFERROR(J87-J86,"")</x:f>
        <x:v>0.014251725487646194</x:v>
      </x:c>
      <x:c r="M87" s="40" t="n">
        <x:f>IFERROR(J87-D87,"")</x:f>
        <x:v>0.0243991843553113</x:v>
      </x:c>
      <x:c r="N87" s="42" t="str">
        <x:f>IF(J87&lt;0,IF(D87&lt;0,"Down-cycle","Price up / earnings down"),IF(AND(J87&gt;0,L87&lt;0,M87&lt;-0.15),"Late-cycle warning",IF(AND(J87&gt;0,M87&gt;0),"Earnings-led expansion",IF(AND(J87&gt;0,D87&lt;0),"Potential dislocation",IF(AND(J87&gt;0,M87&lt;0),"Price ahead / rerating","Neutral")))))</x:f>
        <x:v>Earnings-led expansion</x:v>
      </x:c>
      <x:c r="O87" s="40" t="n">
        <x:v>-0.3882976846876147</x:v>
      </x:c>
      <x:c r="P87" s="40" t="n">
        <x:v>0.5294117647058824</x:v>
      </x:c>
      <x:c r="Q87" s="40" t="n">
        <x:v>0.05730881816323001</x:v>
      </x:c>
      <x:c r="R87" s="40" t="n">
        <x:v>0.6745359398198556</x:v>
      </x:c>
      <x:c r="S87" s="40" t="n">
        <x:v>0.3254640601801444</x:v>
      </x:c>
      <x:c r="T87" s="40" t="n">
        <x:v>0.46602843691558365</x:v>
      </x:c>
      <x:c r="U87" s="40" t="n">
        <x:v>0.8476966288522078</x:v>
      </x:c>
      <x:c r="V87" s="40" t="n">
        <x:v>0.3579198216070119</x:v>
      </x:c>
      <x:c r="W87" s="64" t="str">
        <x:v>Stage 13 – Mixed / Transition</x:v>
      </x:c>
      <x:c r="X87" s="64" t="str">
        <x:v>Rev3M +4.2%; Accel3M -38.8ppt; Stock3M +1.8%; EV/EBITDA 6.0x (67th pct); PeakRatio36M 85%; Multiple3M -8.8%; Earnings-Price Gap +2.4%; CycleHeat 36%. Signals do not fit one dominant state; treat as a transition and require confirmation from the next 1–3 monthly observations.</x:v>
      </x:c>
    </x:row>
    <x:row r="88">
      <x:c r="A88" s="32" t="n">
        <x:v>45657</x:v>
      </x:c>
      <x:c r="B88" s="33" t="n">
        <x:v>1.0467</x:v>
      </x:c>
      <x:c r="C88" s="40" t="n">
        <x:f>IFERROR((1+B88)/(1+B87)-1,"")</x:f>
        <x:v>-0.14080013433525052</x:v>
      </x:c>
      <x:c r="D88" s="40" t="n">
        <x:f>IFERROR((1+B88)/(1+B85)-1,"")</x:f>
        <x:v>-0.18849371555449823</x:v>
      </x:c>
      <x:c r="E88" s="40" t="n">
        <x:f>IFERROR((1+B88)/(1+B82)-1,"")</x:f>
        <x:v>-0.36014630943820936</x:v>
      </x:c>
      <x:c r="F88" s="36" t="n">
        <x:v>5.153776441503629</x:v>
      </x:c>
      <x:c r="G88" s="40" t="n">
        <x:f>IFERROR(F88/F85-1,"")</x:f>
        <x:v>-0.17357801789953664</x:v>
      </x:c>
      <x:c r="H88" s="38" t="n">
        <x:v>21.10990404587771</x:v>
      </x:c>
      <x:c r="I88" s="40" t="n">
        <x:f>IFERROR(H88/H87-1,"")</x:f>
        <x:v>0.09362833263780512</x:v>
      </x:c>
      <x:c r="J88" s="40" t="n">
        <x:f>IFERROR(H88/H85-1,"")</x:f>
        <x:v>0.15555228575108382</x:v>
      </x:c>
      <x:c r="K88" s="40" t="n">
        <x:f>IFERROR(H88/H82-1,"")</x:f>
        <x:v>0.16353534892716115</x:v>
      </x:c>
      <x:c r="L88" s="40" t="n">
        <x:f>IFERROR(J88-J87,"")</x:f>
        <x:v>0.11337912147695173</x:v>
      </x:c>
      <x:c r="M88" s="40" t="n">
        <x:f>IFERROR(J88-D88,"")</x:f>
        <x:v>0.34404600130558205</x:v>
      </x:c>
      <x:c r="N88" s="42" t="str">
        <x:f>IF(J88&lt;0,IF(D88&lt;0,"Down-cycle","Price up / earnings down"),IF(AND(J88&gt;0,L88&lt;0,M88&lt;-0.15),"Late-cycle warning",IF(AND(J88&gt;0,M88&gt;0),"Earnings-led expansion",IF(AND(J88&gt;0,D88&lt;0),"Potential dislocation",IF(AND(J88&gt;0,M88&lt;0),"Price ahead / rerating","Neutral")))))</x:f>
        <x:v>Earnings-led expansion</x:v>
      </x:c>
      <x:c r="O88" s="40" t="n">
        <x:v>0.14864384614647652</x:v>
      </x:c>
      <x:c r="P88" s="40" t="n">
        <x:v>0.8185936640636765</x:v>
      </x:c>
      <x:c r="Q88" s="40" t="n">
        <x:v>0.7762781148287459</x:v>
      </x:c>
      <x:c r="R88" s="40" t="n">
        <x:v>0.5352112676056338</x:v>
      </x:c>
      <x:c r="S88" s="40" t="n">
        <x:v>0.46478873239436624</x:v>
      </x:c>
      <x:c r="T88" s="40" t="n">
        <x:v>0.09477049912219145</x:v>
      </x:c>
      <x:c r="U88" s="40" t="n">
        <x:v>0.9270650507943283</x:v>
      </x:c>
      <x:c r="V88" s="40" t="n">
        <x:v>0.5924891574327847</x:v>
      </x:c>
      <x:c r="W88" s="64" t="str">
        <x:v>Stage 7 – Earnings Acceleration</x:v>
      </x:c>
      <x:c r="X88" s="64" t="str">
        <x:v>Rev3M +15.6%; Accel3M +14.9ppt; Stock3M -18.8%; EV/EBITDA 5.2x (54th pct); PeakRatio36M 93%; Multiple3M -17.4%; Earnings-Price Gap +34.4%; CycleHeat 59%. EBITDA revision strength is in a high historical percentile and revision momentum is still accelerating.</x:v>
      </x:c>
    </x:row>
    <x:row r="89">
      <x:c r="A89" s="32" t="n">
        <x:v>45688</x:v>
      </x:c>
      <x:c r="B89" s="33" t="n">
        <x:v>1.2189</x:v>
      </x:c>
      <x:c r="C89" s="40" t="n">
        <x:f>IFERROR((1+B89)/(1+B88)-1,"")</x:f>
        <x:v>0.08413543753359076</x:v>
      </x:c>
      <x:c r="D89" s="40" t="n">
        <x:f>IFERROR((1+B89)/(1+B86)-1,"")</x:f>
        <x:v>-0.08438557398696045</x:v>
      </x:c>
      <x:c r="E89" s="40" t="n">
        <x:f>IFERROR((1+B89)/(1+B83)-1,"")</x:f>
        <x:v>-0.16916913168832137</x:v>
      </x:c>
      <x:c r="F89" s="36" t="n">
        <x:v>5.585422639968099</x:v>
      </x:c>
      <x:c r="G89" s="40" t="n">
        <x:f>IFERROR(F89/F86-1,"")</x:f>
        <x:v>-0.13064908347824178</x:v>
      </x:c>
      <x:c r="H89" s="38" t="n">
        <x:v>19.841588126329054</x:v>
      </x:c>
      <x:c r="I89" s="40" t="n">
        <x:f>IFERROR(H89/H88-1,"")</x:f>
        <x:v>-0.06008155777459956</x:v>
      </x:c>
      <x:c r="J89" s="40" t="n">
        <x:f>IFERROR(H89/H86-1,"")</x:f>
        <x:v>0.027921438786487895</x:v>
      </x:c>
      <x:c r="K89" s="40" t="n">
        <x:f>IFERROR(H89/H83-1,"")</x:f>
        <x:v>0.056622484316881216</x:v>
      </x:c>
      <x:c r="L89" s="40" t="n">
        <x:f>IFERROR(J89-J88,"")</x:f>
        <x:v>-0.12763084696459592</x:v>
      </x:c>
      <x:c r="M89" s="40" t="n">
        <x:f>IFERROR(J89-D89,"")</x:f>
        <x:v>0.11230701277344834</x:v>
      </x:c>
      <x:c r="N89" s="42" t="str">
        <x:f>IF(J89&lt;0,IF(D89&lt;0,"Down-cycle","Price up / earnings down"),IF(AND(J89&gt;0,L89&lt;0,M89&lt;-0.15),"Late-cycle warning",IF(AND(J89&gt;0,M89&gt;0),"Earnings-led expansion",IF(AND(J89&gt;0,D89&lt;0),"Potential dislocation",IF(AND(J89&gt;0,M89&lt;0),"Price ahead / rerating","Neutral")))))</x:f>
        <x:v>Earnings-led expansion</x:v>
      </x:c>
      <x:c r="O89" s="40" t="n">
        <x:v>1.9984014443252818e-15</x:v>
      </x:c>
      <x:c r="P89" s="40" t="n">
        <x:v>0.5147058823529432</x:v>
      </x:c>
      <x:c r="Q89" s="40" t="n">
        <x:v>0.45774651950733536</x:v>
      </x:c>
      <x:c r="R89" s="40" t="n">
        <x:v>0.6494336868092163</x:v>
      </x:c>
      <x:c r="S89" s="40" t="n">
        <x:v>0.3505663131907837</x:v>
      </x:c>
      <x:c r="T89" s="40" t="n">
        <x:v>0.31617669926311487</x:v>
      </x:c>
      <x:c r="U89" s="40" t="n">
        <x:v>0.8713655383842168</x:v>
      </x:c>
      <x:c r="V89" s="40" t="n">
        <x:v>0.42793229119114373</x:v>
      </x:c>
      <x:c r="W89" s="64" t="str">
        <x:v>Stage 6 – Broad Recovery</x:v>
      </x:c>
      <x:c r="X89" s="64" t="str">
        <x:v>Rev3M +2.8%; Accel3M +0.0ppt; Stock3M -8.4%; EV/EBITDA 5.6x (65th pct); PeakRatio36M 87%; Multiple3M -13.1%; Earnings-Price Gap +11.2%; CycleHeat 43%. Forward EBITDA revisions are positive and non-decelerating, with earnings recovering toward normal cycle levels.</x:v>
      </x:c>
    </x:row>
    <x:row r="90">
      <x:c r="A90" s="32" t="n">
        <x:v>45716</x:v>
      </x:c>
      <x:c r="B90" s="33" t="n">
        <x:v>1.277</x:v>
      </x:c>
      <x:c r="C90" s="40" t="n">
        <x:f>IFERROR((1+B90)/(1+B89)-1,"")</x:f>
        <x:v>0.026184145297219352</x:v>
      </x:c>
      <x:c r="D90" s="40" t="n">
        <x:f>IFERROR((1+B90)/(1+B87)-1,"")</x:f>
        <x:v>-0.044120733806305434</x:v>
      </x:c>
      <x:c r="E90" s="40" t="n">
        <x:f>IFERROR((1+B90)/(1+B84)-1,"")</x:f>
        <x:v>-0.02713095492416151</x:v>
      </x:c>
      <x:c r="F90" s="36" t="n">
        <x:v>6.2735181285424915</x:v>
      </x:c>
      <x:c r="G90" s="40" t="n">
        <x:f>IFERROR(F90/F87-1,"")</x:f>
        <x:v>0.042586490097435536</x:v>
      </x:c>
      <x:c r="H90" s="38" t="n">
        <x:v>17.772017584946525</x:v>
      </x:c>
      <x:c r="I90" s="40" t="n">
        <x:f>IFERROR(H90/H89-1,"")</x:f>
        <x:v>-0.10430468207513521</x:v>
      </x:c>
      <x:c r="J90" s="40" t="n">
        <x:f>IFERROR(H90/H87-1,"")</x:f>
        <x:v>-0.07929558008435234</x:v>
      </x:c>
      <x:c r="K90" s="40" t="n">
        <x:f>IFERROR(H90/H84-1,"")</x:f>
        <x:v>-0.04046656133533011</x:v>
      </x:c>
      <x:c r="L90" s="40" t="n">
        <x:f>IFERROR(J90-J89,"")</x:f>
        <x:v>-0.10721701887084023</x:v>
      </x:c>
      <x:c r="M90" s="40" t="n">
        <x:f>IFERROR(J90-D90,"")</x:f>
        <x:v>-0.0351748462780469</x:v>
      </x:c>
      <x:c r="N90" s="42" t="str">
        <x:f>IF(J90&lt;0,IF(D90&lt;0,"Down-cycle","Price up / earnings down"),IF(AND(J90&gt;0,L90&lt;0,M90&lt;-0.15),"Late-cycle warning",IF(AND(J90&gt;0,M90&gt;0),"Earnings-led expansion",IF(AND(J90&gt;0,D90&lt;0),"Potential dislocation",IF(AND(J90&gt;0,M90&lt;0),"Price ahead / rerating","Neutral")))))</x:f>
        <x:v>Down-cycle</x:v>
      </x:c>
      <x:c r="O90" s="40" t="n">
        <x:v>-0.12146874435848443</x:v>
      </x:c>
      <x:c r="P90" s="40" t="n">
        <x:v>0.32352941176470584</x:v>
      </x:c>
      <x:c r="Q90" s="40" t="n">
        <x:v>0.2828471408250406</x:v>
      </x:c>
      <x:c r="R90" s="40" t="n">
        <x:v>0.6829727358300829</x:v>
      </x:c>
      <x:c r="S90" s="40" t="n">
        <x:v>0.3170272641699171</x:v>
      </x:c>
      <x:c r="T90" s="40" t="n">
        <x:v>0.37414230815744304</x:v>
      </x:c>
      <x:c r="U90" s="40" t="n">
        <x:v>0.780478032931822</x:v>
      </x:c>
      <x:c r="V90" s="40" t="n">
        <x:v>0.3221809937893792</x:v>
      </x:c>
      <x:c r="W90" s="64" t="str">
        <x:v>Stage 12 – Downturn Confirmation</x:v>
      </x:c>
      <x:c r="X90" s="64" t="str">
        <x:v>Rev3M -7.9%; Accel3M -12.1ppt; Stock3M -4.4%; EV/EBITDA 6.3x (68th pct); PeakRatio36M 78%; Multiple3M +4.3%; Earnings-Price Gap -3.5%; CycleHeat 32%. Forward EBITDA, revision momentum, and stock performance are all negative while earnings are still relatively elevated—downcycle is being confirmed.</x:v>
      </x:c>
    </x:row>
    <x:row r="91">
      <x:c r="A91" s="32" t="n">
        <x:v>45747</x:v>
      </x:c>
      <x:c r="B91" s="33" t="n">
        <x:v>1.1131</x:v>
      </x:c>
      <x:c r="C91" s="40" t="n">
        <x:f>IFERROR((1+B91)/(1+B90)-1,"")</x:f>
        <x:v>-0.07198067632850236</x:v>
      </x:c>
      <x:c r="D91" s="40" t="n">
        <x:f>IFERROR((1+B91)/(1+B88)-1,"")</x:f>
        <x:v>0.032442468363707455</x:v>
      </x:c>
      <x:c r="E91" s="40" t="n">
        <x:f>IFERROR((1+B91)/(1+B85)-1,"")</x:f>
        <x:v>-0.1621664485944252</x:v>
      </x:c>
      <x:c r="F91" s="36" t="n">
        <x:v>5.552244712690075</x:v>
      </x:c>
      <x:c r="G91" s="40" t="n">
        <x:f>IFERROR(F91/F88-1,"")</x:f>
        <x:v>0.07731578498003144</x:v>
      </x:c>
      <x:c r="H91" s="38" t="n">
        <x:v>19.43598195903482</x:v>
      </x:c>
      <x:c r="I91" s="40" t="n">
        <x:f>IFERROR(H91/H90-1,"")</x:f>
        <x:v>0.09362833263780512</x:v>
      </x:c>
      <x:c r="J91" s="40" t="n">
        <x:f>IFERROR(H91/H88-1,"")</x:f>
        <x:v>-0.07929558008435234</x:v>
      </x:c>
      <x:c r="K91" s="40" t="n">
        <x:f>IFERROR(H91/H85-1,"")</x:f>
        <x:v>0.06392209693465234</x:v>
      </x:c>
      <x:c r="L91" s="40" t="n">
        <x:f>IFERROR(J91-J90,"")</x:f>
        <x:v>0</x:v>
      </x:c>
      <x:c r="M91" s="40" t="n">
        <x:f>IFERROR(J91-D91,"")</x:f>
        <x:v>-0.11173804844805979</x:v>
      </x:c>
      <x:c r="N91" s="42" t="str">
        <x:f>IF(J91&lt;0,IF(D91&lt;0,"Down-cycle","Price up / earnings down"),IF(AND(J91&gt;0,L91&lt;0,M91&lt;-0.15),"Late-cycle warning",IF(AND(J91&gt;0,M91&gt;0),"Earnings-led expansion",IF(AND(J91&gt;0,D91&lt;0),"Potential dislocation",IF(AND(J91&gt;0,M91&lt;0),"Price ahead / rerating","Neutral")))))</x:f>
        <x:v>Price up / earnings down</x:v>
      </x:c>
      <x:c r="O91" s="40" t="n">
        <x:v>-0.23484786583543615</x:v>
      </x:c>
      <x:c r="P91" s="40" t="n">
        <x:v>0.32352941176470584</x:v>
      </x:c>
      <x:c r="Q91" s="40" t="n">
        <x:v>0.13739600503770202</x:v>
      </x:c>
      <x:c r="R91" s="40" t="n">
        <x:v>0.6431784958821862</x:v>
      </x:c>
      <x:c r="S91" s="40" t="n">
        <x:v>0.35682150411781377</x:v>
      </x:c>
      <x:c r="T91" s="40" t="n">
        <x:v>0.4904614155700986</x:v>
      </x:c>
      <x:c r="U91" s="40" t="n">
        <x:v>0.8535528898156625</x:v>
      </x:c>
      <x:c r="V91" s="40" t="n">
        <x:v>0.317040879314655</x:v>
      </x:c>
      <x:c r="W91" s="64" t="str">
        <x:v>Stage 13 – Mixed / Transition</x:v>
      </x:c>
      <x:c r="X91" s="64" t="str">
        <x:v>Rev3M -7.9%; Accel3M -23.5ppt; Stock3M +3.2%; EV/EBITDA 5.6x (64th pct); PeakRatio36M 85%; Multiple3M +7.7%; Earnings-Price Gap -11.2%; CycleHeat 32%. Signals do not fit one dominant state; treat as a transition and require confirmation from the next 1–3 monthly observations.</x:v>
      </x:c>
    </x:row>
    <x:row r="92">
      <x:c r="A92" s="32" t="n">
        <x:v>45777</x:v>
      </x:c>
      <x:c r="B92" s="33" t="n">
        <x:v>0.8714</x:v>
      </x:c>
      <x:c r="C92" s="40" t="n">
        <x:f>IFERROR((1+B92)/(1+B91)-1,"")</x:f>
        <x:v>-0.1143817140693768</x:v>
      </x:c>
      <x:c r="D92" s="40" t="n">
        <x:f>IFERROR((1+B92)/(1+B89)-1,"")</x:f>
        <x:v>-0.15660913065032234</x:v>
      </x:c>
      <x:c r="E92" s="40" t="n">
        <x:f>IFERROR((1+B92)/(1+B86)-1,"")</x:f>
        <x:v>-0.22777915325575637</x:v>
      </x:c>
      <x:c r="F92" s="36" t="n">
        <x:v>4.943260334230859</x:v>
      </x:c>
      <x:c r="G92" s="40" t="n">
        <x:f>IFERROR(F92/F89-1,"")</x:f>
        <x:v>-0.11497112163761125</x:v>
      </x:c>
      <x:c r="H92" s="38" t="n">
        <x:v>18.90804221573586</x:v>
      </x:c>
      <x:c r="I92" s="40" t="n">
        <x:f>IFERROR(H92/H91-1,"")</x:f>
        <x:v>-0.02716300850719533</x:v>
      </x:c>
      <x:c r="J92" s="40" t="n">
        <x:f>IFERROR(H92/H89-1,"")</x:f>
        <x:v>-0.047049959138825814</x:v>
      </x:c>
      <x:c r="K92" s="40" t="n">
        <x:f>IFERROR(H92/H86-1,"")</x:f>
        <x:v>-0.020442222906339458</x:v>
      </x:c>
      <x:c r="L92" s="40" t="n">
        <x:f>IFERROR(J92-J91,"")</x:f>
        <x:v>0.03224562094552652</x:v>
      </x:c>
      <x:c r="M92" s="40" t="n">
        <x:f>IFERROR(J92-D92,"")</x:f>
        <x:v>0.10955917151149652</x:v>
      </x:c>
      <x:c r="N92" s="42" t="str">
        <x:f>IF(J92&lt;0,IF(D92&lt;0,"Down-cycle","Price up / earnings down"),IF(AND(J92&gt;0,L92&lt;0,M92&lt;-0.15),"Late-cycle warning",IF(AND(J92&gt;0,M92&gt;0),"Earnings-led expansion",IF(AND(J92&gt;0,D92&lt;0),"Potential dislocation",IF(AND(J92&gt;0,M92&lt;0),"Price ahead / rerating","Neutral")))))</x:f>
        <x:v>Down-cycle</x:v>
      </x:c>
      <x:c r="O92" s="40" t="n">
        <x:v>-0.07497139792531371</x:v>
      </x:c>
      <x:c r="P92" s="40" t="n">
        <x:v>0.3774671213348397</x:v>
      </x:c>
      <x:c r="Q92" s="40" t="n">
        <x:v>0.3295121379079726</x:v>
      </x:c>
      <x:c r="R92" s="40" t="n">
        <x:v>0.45538508253921384</x:v>
      </x:c>
      <x:c r="S92" s="40" t="n">
        <x:v>0.5446149174607862</x:v>
      </x:c>
      <x:c r="T92" s="40" t="n">
        <x:v>0.15108108229693515</x:v>
      </x:c>
      <x:c r="U92" s="40" t="n">
        <x:v>0.8303678254082585</x:v>
      </x:c>
      <x:c r="V92" s="40" t="n">
        <x:v>0.35363072689573133</x:v>
      </x:c>
      <x:c r="W92" s="64" t="str">
        <x:v>Stage 12 – Downturn Confirmation</x:v>
      </x:c>
      <x:c r="X92" s="64" t="str">
        <x:v>Rev3M -4.7%; Accel3M -7.5ppt; Stock3M -15.7%; EV/EBITDA 4.9x (46th pct); PeakRatio36M 83%; Multiple3M -11.5%; Earnings-Price Gap +11.0%; CycleHeat 35%. Forward EBITDA, revision momentum, and stock performance are all negative while earnings are still relatively elevated—downcycle is being confirmed.</x:v>
      </x:c>
    </x:row>
    <x:row r="93">
      <x:c r="A93" s="32" t="n">
        <x:v>45808</x:v>
      </x:c>
      <x:c r="B93" s="33" t="n">
        <x:v>1.2972</x:v>
      </x:c>
      <x:c r="C93" s="40" t="n">
        <x:f>IFERROR((1+B93)/(1+B92)-1,"")</x:f>
        <x:v>0.22753019130063068</x:v>
      </x:c>
      <x:c r="D93" s="40" t="n">
        <x:f>IFERROR((1+B93)/(1+B90)-1,"")</x:f>
        <x:v>0.008871321914800223</x:v>
      </x:c>
      <x:c r="E93" s="40" t="n">
        <x:f>IFERROR((1+B93)/(1+B87)-1,"")</x:f>
        <x:v>-0.03564082112421818</x:v>
      </x:c>
      <x:c r="F93" s="36" t="n">
        <x:v>6.125779919390336</x:v>
      </x:c>
      <x:c r="G93" s="40" t="n">
        <x:f>IFERROR(F93/F90-1,"")</x:f>
        <x:v>-0.02354949904105552</x:v>
      </x:c>
      <x:c r="H93" s="38" t="n">
        <x:v>18.778313371929496</x:v>
      </x:c>
      <x:c r="I93" s="40" t="n">
        <x:f>IFERROR(H93/H92-1,"")</x:f>
        <x:v>-0.006861040520546369</x:v>
      </x:c>
      <x:c r="J93" s="40" t="n">
        <x:f>IFERROR(H93/H90-1,"")</x:f>
        <x:v>0.056622484316881216</x:v>
      </x:c>
      <x:c r="K93" s="40" t="n">
        <x:f>IFERROR(H93/H87-1,"")</x:f>
        <x:v>-0.02716300850719533</x:v>
      </x:c>
      <x:c r="L93" s="40" t="n">
        <x:f>IFERROR(J93-J92,"")</x:f>
        <x:v>0.10367244345570703</x:v>
      </x:c>
      <x:c r="M93" s="40" t="n">
        <x:f>IFERROR(J93-D93,"")</x:f>
        <x:v>0.04775116240208099</x:v>
      </x:c>
      <x:c r="N93" s="42" t="str">
        <x:f>IF(J93&lt;0,IF(D93&lt;0,"Down-cycle","Price up / earnings down"),IF(AND(J93&gt;0,L93&lt;0,M93&lt;-0.15),"Late-cycle warning",IF(AND(J93&gt;0,M93&gt;0),"Earnings-led expansion",IF(AND(J93&gt;0,D93&lt;0),"Potential dislocation",IF(AND(J93&gt;0,M93&lt;0),"Price ahead / rerating","Neutral")))))</x:f>
        <x:v>Earnings-led expansion</x:v>
      </x:c>
      <x:c r="O93" s="40" t="n">
        <x:v>0.13591806440123355</x:v>
      </x:c>
      <x:c r="P93" s="40" t="n">
        <x:v>0.5783976630805635</x:v>
      </x:c>
      <x:c r="Q93" s="40" t="n">
        <x:v>0.7350187149042302</x:v>
      </x:c>
      <x:c r="R93" s="40" t="n">
        <x:v>0.6783343881327526</x:v>
      </x:c>
      <x:c r="S93" s="40" t="n">
        <x:v>0.3216656118672474</x:v>
      </x:c>
      <x:c r="T93" s="40" t="n">
        <x:v>0.44724814008962777</x:v>
      </x:c>
      <x:c r="U93" s="40" t="n">
        <x:v>0.8895499160545204</x:v>
      </x:c>
      <x:c r="V93" s="40" t="n">
        <x:v>0.5399766111956298</x:v>
      </x:c>
      <x:c r="W93" s="64" t="str">
        <x:v>Stage 6 – Broad Recovery</x:v>
      </x:c>
      <x:c r="X93" s="64" t="str">
        <x:v>Rev3M +5.7%; Accel3M +13.6ppt; Stock3M +0.9%; EV/EBITDA 6.1x (68th pct); PeakRatio36M 89%; Multiple3M -2.4%; Earnings-Price Gap +4.8%; CycleHeat 54%. Forward EBITDA revisions are positive and non-decelerating, with earnings recovering toward normal cycle levels.</x:v>
      </x:c>
    </x:row>
    <x:row r="94">
      <x:c r="A94" s="32" t="n">
        <x:v>45838</x:v>
      </x:c>
      <x:c r="B94" s="33" t="n">
        <x:v>1.9973</x:v>
      </x:c>
      <x:c r="C94" s="40" t="n">
        <x:f>IFERROR((1+B94)/(1+B93)-1,"")</x:f>
        <x:v>0.30476231934528997</x:v>
      </x:c>
      <x:c r="D94" s="40" t="n">
        <x:f>IFERROR((1+B94)/(1+B91)-1,"")</x:f>
        <x:v>0.4184373669017083</x:v>
      </x:c>
      <x:c r="E94" s="40" t="n">
        <x:f>IFERROR((1+B94)/(1+B88)-1,"")</x:f>
        <x:v>0.46445497630331767</x:v>
      </x:c>
      <x:c r="F94" s="36" t="n">
        <x:v>6.579769686939705</x:v>
      </x:c>
      <x:c r="G94" s="40" t="n">
        <x:f>IFERROR(F94/F91-1,"")</x:f>
        <x:v>0.18506478504111024</x:v>
      </x:c>
      <x:c r="H94" s="38" t="n">
        <x:v>21.25574054303771</x:v>
      </x:c>
      <x:c r="I94" s="40" t="n">
        <x:f>IFERROR(H94/H93-1,"")</x:f>
        <x:v>0.13193022834583013</x:v>
      </x:c>
      <x:c r="J94" s="40" t="n">
        <x:f>IFERROR(H94/H91-1,"")</x:f>
        <x:v>0.09362833263780512</x:v>
      </x:c>
      <x:c r="K94" s="40" t="n">
        <x:f>IFERROR(H94/H88-1,"")</x:f>
        <x:v>0.006908439604607297</x:v>
      </x:c>
      <x:c r="L94" s="40" t="n">
        <x:f>IFERROR(J94-J93,"")</x:f>
        <x:v>0.037005848320923906</x:v>
      </x:c>
      <x:c r="M94" s="40" t="n">
        <x:f>IFERROR(J94-D94,"")</x:f>
        <x:v>-0.3248090342639032</x:v>
      </x:c>
      <x:c r="N94" s="42" t="str">
        <x:f>IF(J94&lt;0,IF(D94&lt;0,"Down-cycle","Price up / earnings down"),IF(AND(J94&gt;0,L94&lt;0,M94&lt;-0.15),"Late-cycle warning",IF(AND(J94&gt;0,M94&gt;0),"Earnings-led expansion",IF(AND(J94&gt;0,D94&lt;0),"Potential dislocation",IF(AND(J94&gt;0,M94&lt;0),"Price ahead / rerating","Neutral")))))</x:f>
        <x:v>Price ahead / rerating</x:v>
      </x:c>
      <x:c r="O94" s="40" t="n">
        <x:v>0.17292391272215746</x:v>
      </x:c>
      <x:c r="P94" s="40" t="n">
        <x:v>0.6837982181673494</x:v>
      </x:c>
      <x:c r="Q94" s="40" t="n">
        <x:v>0.8024426563602981</x:v>
      </x:c>
      <x:c r="R94" s="40" t="n">
        <x:v>0.7089062092997774</x:v>
      </x:c>
      <x:c r="S94" s="40" t="n">
        <x:v>0.29109379070022257</x:v>
      </x:c>
      <x:c r="T94" s="40" t="n">
        <x:v>0.9634308619971833</x:v>
      </x:c>
      <x:c r="U94" s="40" t="n">
        <x:v>1</x:v>
      </x:c>
      <x:c r="V94" s="40" t="n">
        <x:v>0.690844970988128</x:v>
      </x:c>
      <x:c r="W94" s="64" t="str">
        <x:v>Stage 6 – Broad Recovery</x:v>
      </x:c>
      <x:c r="X94" s="64" t="str">
        <x:v>Rev3M +9.4%; Accel3M +17.3ppt; Stock3M +41.8%; EV/EBITDA 6.6x (71th pct); PeakRatio36M 100%; Multiple3M +18.5%; Earnings-Price Gap -32.5%; CycleHeat 69%. Forward EBITDA revisions are positive and non-decelerating, with earnings recovering toward normal cycle levels.</x:v>
      </x:c>
    </x:row>
    <x:row r="95">
      <x:c r="A95" s="32" t="n">
        <x:v>45869</x:v>
      </x:c>
      <x:c r="B95" s="33" t="n">
        <x:v>1.6542</x:v>
      </x:c>
      <x:c r="C95" s="40" t="n">
        <x:f>IFERROR((1+B95)/(1+B94)-1,"")</x:f>
        <x:v>-0.1144696893871151</x:v>
      </x:c>
      <x:c r="D95" s="40" t="n">
        <x:f>IFERROR((1+B95)/(1+B92)-1,"")</x:f>
        <x:v>0.41829646254141273</x:v>
      </x:c>
      <x:c r="E95" s="40" t="n">
        <x:f>IFERROR((1+B95)/(1+B89)-1,"")</x:f>
        <x:v>0.19617828653837477</x:v>
      </x:c>
      <x:c r="F95" s="36" t="n">
        <x:v>5.309611988976045</x:v>
      </x:c>
      <x:c r="G95" s="40" t="n">
        <x:f>IFERROR(F95/F92-1,"")</x:f>
        <x:v>0.07411134149830034</x:v>
      </x:c>
      <x:c r="H95" s="38" t="n">
        <x:v>25.24792928787487</x:v>
      </x:c>
      <x:c r="I95" s="40" t="n">
        <x:f>IFERROR(H95/H94-1,"")</x:f>
        <x:v>0.18781696816226878</x:v>
      </x:c>
      <x:c r="J95" s="40" t="n">
        <x:f>IFERROR(H95/H92-1,"")</x:f>
        <x:v>0.33530108510455725</x:v>
      </x:c>
      <x:c r="K95" s="40" t="n">
        <x:f>IFERROR(H95/H89-1,"")</x:f>
        <x:v>0.272475223612358</x:v>
      </x:c>
      <x:c r="L95" s="40" t="n">
        <x:f>IFERROR(J95-J94,"")</x:f>
        <x:v>0.24167275246675213</x:v>
      </x:c>
      <x:c r="M95" s="40" t="n">
        <x:f>IFERROR(J95-D95,"")</x:f>
        <x:v>-0.08299537743685548</x:v>
      </x:c>
      <x:c r="N95" s="42" t="str">
        <x:f>IF(J95&lt;0,IF(D95&lt;0,"Down-cycle","Price up / earnings down"),IF(AND(J95&gt;0,L95&lt;0,M95&lt;-0.15),"Late-cycle warning",IF(AND(J95&gt;0,M95&gt;0),"Earnings-led expansion",IF(AND(J95&gt;0,D95&lt;0),"Potential dislocation",IF(AND(J95&gt;0,M95&lt;0),"Price ahead / rerating","Neutral")))))</x:f>
        <x:v>Price ahead / rerating</x:v>
      </x:c>
      <x:c r="O95" s="40" t="n">
        <x:v>0.38235104424338306</x:v>
      </x:c>
      <x:c r="P95" s="40" t="n">
        <x:v>0.8970588235294118</x:v>
      </x:c>
      <x:c r="Q95" s="40" t="n">
        <x:v>0.9307472285274058</x:v>
      </x:c>
      <x:c r="R95" s="40" t="n">
        <x:v>0.5576708479372235</x:v>
      </x:c>
      <x:c r="S95" s="40" t="n">
        <x:v>0.44232915206277645</x:v>
      </x:c>
      <x:c r="T95" s="40" t="n">
        <x:v>0.9633269274592311</x:v>
      </x:c>
      <x:c r="U95" s="40" t="n">
        <x:v>1</x:v>
      </x:c>
      <x:c r="V95" s="40" t="n">
        <x:v>0.827788611271547</x:v>
      </x:c>
      <x:c r="W95" s="64" t="str">
        <x:v>Stage 7 – Earnings Acceleration</x:v>
      </x:c>
      <x:c r="X95" s="64" t="str">
        <x:v>Rev3M +33.5%; Accel3M +38.2ppt; Stock3M +41.8%; EV/EBITDA 5.3x (56th pct); PeakRatio36M 100%; Multiple3M +7.4%; Earnings-Price Gap -8.3%; CycleHeat 83%. EBITDA revision strength is in a high historical percentile and revision momentum is still accelerating.</x:v>
      </x:c>
    </x:row>
    <x:row r="96">
      <x:c r="A96" s="32" t="n">
        <x:v>45900</x:v>
      </x:c>
      <x:c r="B96" s="33" t="n">
        <x:v>1.8942</x:v>
      </x:c>
      <x:c r="C96" s="40" t="n">
        <x:f>IFERROR((1+B96)/(1+B95)-1,"")</x:f>
        <x:v>0.09042272624519643</x:v>
      </x:c>
      <x:c r="D96" s="40" t="n">
        <x:f>IFERROR((1+B96)/(1+B93)-1,"")</x:f>
        <x:v>0.25988159498519936</x:v>
      </x:c>
      <x:c r="E96" s="40" t="n">
        <x:f>IFERROR((1+B96)/(1+B90)-1,"")</x:f>
        <x:v>0.2710584101888449</x:v>
      </x:c>
      <x:c r="F96" s="36" t="n">
        <x:v>5.246720164055067</x:v>
      </x:c>
      <x:c r="G96" s="40" t="n">
        <x:f>IFERROR(F96/F93-1,"")</x:f>
        <x:v>-0.1435016874427243</x:v>
      </x:c>
      <x:c r="H96" s="38" t="n">
        <x:v>25.422353082501505</x:v>
      </x:c>
      <x:c r="I96" s="40" t="n">
        <x:f>IFERROR(H96/H95-1,"")</x:f>
        <x:v>0.006908439604605521</x:v>
      </x:c>
      <x:c r="J96" s="40" t="n">
        <x:f>IFERROR(H96/H93-1,"")</x:f>
        <x:v>0.3538145082030508</x:v>
      </x:c>
      <x:c r="K96" s="40" t="n">
        <x:f>IFERROR(H96/H90-1,"")</x:f>
        <x:v>0.43047084896174437</x:v>
      </x:c>
      <x:c r="L96" s="40" t="n">
        <x:f>IFERROR(J96-J95,"")</x:f>
        <x:v>0.018513423098493575</x:v>
      </x:c>
      <x:c r="M96" s="40" t="n">
        <x:f>IFERROR(J96-D96,"")</x:f>
        <x:v>0.09393291321785147</x:v>
      </x:c>
      <x:c r="N96" s="42" t="str">
        <x:f>IF(J96&lt;0,IF(D96&lt;0,"Down-cycle","Price up / earnings down"),IF(AND(J96&gt;0,L96&lt;0,M96&lt;-0.15),"Late-cycle warning",IF(AND(J96&gt;0,M96&gt;0),"Earnings-led expansion",IF(AND(J96&gt;0,D96&lt;0),"Potential dislocation",IF(AND(J96&gt;0,M96&lt;0),"Price ahead / rerating","Neutral")))))</x:f>
        <x:v>Earnings-led expansion</x:v>
      </x:c>
      <x:c r="O96" s="40" t="n">
        <x:v>0.2971920238861696</x:v>
      </x:c>
      <x:c r="P96" s="40" t="n">
        <x:v>0.9117647058823529</x:v>
      </x:c>
      <x:c r="Q96" s="40" t="n">
        <x:v>0.8965769281453349</x:v>
      </x:c>
      <x:c r="R96" s="40" t="n">
        <x:v>0.5539208592038681</x:v>
      </x:c>
      <x:c r="S96" s="40" t="n">
        <x:v>0.44607914079613187</x:v>
      </x:c>
      <x:c r="T96" s="40" t="n">
        <x:v>0.8985492324917379</x:v>
      </x:c>
      <x:c r="U96" s="40" t="n">
        <x:v>1</x:v>
      </x:c>
      <x:c r="V96" s="40" t="n">
        <x:v>0.8121875537527312</x:v>
      </x:c>
      <x:c r="W96" s="64" t="str">
        <x:v>Stage 7 – Earnings Acceleration</x:v>
      </x:c>
      <x:c r="X96" s="64" t="str">
        <x:v>Rev3M +35.4%; Accel3M +29.7ppt; Stock3M +26.0%; EV/EBITDA 5.2x (55th pct); PeakRatio36M 100%; Multiple3M -14.4%; Earnings-Price Gap +9.4%; CycleHeat 81%. EBITDA revision strength is in a high historical percentile and revision momentum is still accelerating.</x:v>
      </x:c>
    </x:row>
    <x:row r="97">
      <x:c r="A97" s="32" t="n">
        <x:v>45930</x:v>
      </x:c>
      <x:c r="B97" s="33" t="n">
        <x:v>3.0691</x:v>
      </x:c>
      <x:c r="C97" s="40" t="n">
        <x:f>IFERROR((1+B97)/(1+B96)-1,"")</x:f>
        <x:v>0.40594983069587465</x:v>
      </x:c>
      <x:c r="D97" s="40" t="n">
        <x:f>IFERROR((1+B97)/(1+B94)-1,"")</x:f>
        <x:v>0.3575884963133489</x:v>
      </x:c>
      <x:c r="E97" s="40" t="n">
        <x:f>IFERROR((1+B97)/(1+B91)-1,"")</x:f>
        <x:v>0.9256542520467561</x:v>
      </x:c>
      <x:c r="F97" s="36" t="n">
        <x:v>6.367658470429933</x:v>
      </x:c>
      <x:c r="G97" s="40" t="n">
        <x:f>IFERROR(F97/F94-1,"")</x:f>
        <x:v>-0.032236875544564336</x:v>
      </x:c>
      <x:c r="H97" s="38" t="n">
        <x:v>30.82728050161803</x:v>
      </x:c>
      <x:c r="I97" s="40" t="n">
        <x:f>IFERROR(H97/H96-1,"")</x:f>
        <x:v>0.21260531633622848</x:v>
      </x:c>
      <x:c r="J97" s="40" t="n">
        <x:f>IFERROR(H97/H94-1,"")</x:f>
        <x:v>0.45030376331515143</x:v>
      </x:c>
      <x:c r="K97" s="40" t="n">
        <x:f>IFERROR(H97/H91-1,"")</x:f>
        <x:v>0.5860932864926829</x:v>
      </x:c>
      <x:c r="L97" s="40" t="n">
        <x:f>IFERROR(J97-J96,"")</x:f>
        <x:v>0.0964892551121006</x:v>
      </x:c>
      <x:c r="M97" s="40" t="n">
        <x:f>IFERROR(J97-D97,"")</x:f>
        <x:v>0.09271526700180255</x:v>
      </x:c>
      <x:c r="N97" s="42" t="str">
        <x:f>IF(J97&lt;0,IF(D97&lt;0,"Down-cycle","Price up / earnings down"),IF(AND(J97&gt;0,L97&lt;0,M97&lt;-0.15),"Late-cycle warning",IF(AND(J97&gt;0,M97&gt;0),"Earnings-led expansion",IF(AND(J97&gt;0,D97&lt;0),"Potential dislocation",IF(AND(J97&gt;0,M97&lt;0),"Price ahead / rerating","Neutral")))))</x:f>
        <x:v>Earnings-led expansion</x:v>
      </x:c>
      <x:c r="O97" s="40" t="n">
        <x:v>0.3566754306773463</x:v>
      </x:c>
      <x:c r="P97" s="40" t="n">
        <x:v>0.9558823529411766</x:v>
      </x:c>
      <x:c r="Q97" s="40" t="n">
        <x:v>0.9268796451067988</x:v>
      </x:c>
      <x:c r="R97" s="40" t="n">
        <x:v>0.6859283398036615</x:v>
      </x:c>
      <x:c r="S97" s="40" t="n">
        <x:v>0.3140716601963385</x:v>
      </x:c>
      <x:c r="T97" s="40" t="n">
        <x:v>0.9352366771251449</x:v>
      </x:c>
      <x:c r="U97" s="40" t="n">
        <x:v>1</x:v>
      </x:c>
      <x:c r="V97" s="40" t="n">
        <x:v>0.8161404022704082</x:v>
      </x:c>
      <x:c r="W97" s="64" t="str">
        <x:v>Stage 7 – Earnings Acceleration</x:v>
      </x:c>
      <x:c r="X97" s="64" t="str">
        <x:v>Rev3M +45.0%; Accel3M +35.7ppt; Stock3M +35.8%; EV/EBITDA 6.4x (69th pct); PeakRatio36M 100%; Multiple3M -3.2%; Earnings-Price Gap +9.3%; CycleHeat 82%. EBITDA revision strength is in a high historical percentile and revision momentum is still accelerating.</x:v>
      </x:c>
    </x:row>
    <x:row r="98">
      <x:c r="A98" s="32" t="n">
        <x:v>45961</x:v>
      </x:c>
      <x:c r="B98" s="33" t="n">
        <x:v>4.4419</x:v>
      </x:c>
      <x:c r="C98" s="40" t="n">
        <x:f>IFERROR((1+B98)/(1+B97)-1,"")</x:f>
        <x:v>0.33737190042024023</x:v>
      </x:c>
      <x:c r="D98" s="40" t="n">
        <x:f>IFERROR((1+B98)/(1+B95)-1,"")</x:f>
        <x:v>1.0502976414738905</x:v>
      </x:c>
      <x:c r="E98" s="40" t="n">
        <x:f>IFERROR((1+B98)/(1+B92)-1,"")</x:f>
        <x:v>1.9079298920594212</x:v>
      </x:c>
      <x:c r="F98" s="36" t="n">
        <x:v>7.501263356636342</x:v>
      </x:c>
      <x:c r="G98" s="40" t="n">
        <x:f>IFERROR(F98/F95-1,"")</x:f>
        <x:v>0.4127705324250923</x:v>
      </x:c>
      <x:c r="H98" s="38" t="n">
        <x:v>33.02440670665555</x:v>
      </x:c>
      <x:c r="I98" s="40" t="n">
        <x:f>IFERROR(H98/H97-1,"")</x:f>
        <x:v>0.07127213848533276</x:v>
      </x:c>
      <x:c r="J98" s="40" t="n">
        <x:f>IFERROR(H98/H95-1,"")</x:f>
        <x:v>0.30800456267577037</x:v>
      </x:c>
      <x:c r="K98" s="40" t="n">
        <x:f>IFERROR(H98/H92-1,"")</x:f>
        <x:v>0.7465799118626681</x:v>
      </x:c>
      <x:c r="L98" s="40" t="n">
        <x:f>IFERROR(J98-J97,"")</x:f>
        <x:v>-0.14229920063938106</x:v>
      </x:c>
      <x:c r="M98" s="40" t="n">
        <x:f>IFERROR(J98-D98,"")</x:f>
        <x:v>-0.7422930787981201</x:v>
      </x:c>
      <x:c r="N98" s="42" t="str">
        <x:f>IF(J98&lt;0,IF(D98&lt;0,"Down-cycle","Price up / earnings down"),IF(AND(J98&gt;0,L98&lt;0,M98&lt;-0.15),"Late-cycle warning",IF(AND(J98&gt;0,M98&gt;0),"Earnings-led expansion",IF(AND(J98&gt;0,D98&lt;0),"Potential dislocation",IF(AND(J98&gt;0,M98&lt;0),"Price ahead / rerating","Neutral")))))</x:f>
        <x:v>Late-cycle warning</x:v>
      </x:c>
      <x:c r="O98" s="40" t="n">
        <x:v>-0.027296522428786885</x:v>
      </x:c>
      <x:c r="P98" s="40" t="n">
        <x:v>0.8859915323266121</x:v>
      </x:c>
      <x:c r="Q98" s="40" t="n">
        <x:v>0.4380375802351595</x:v>
      </x:c>
      <x:c r="R98" s="40" t="n">
        <x:v>0.7970822104887296</x:v>
      </x:c>
      <x:c r="S98" s="40" t="n">
        <x:v>0.20291778951127037</x:v>
      </x:c>
      <x:c r="T98" s="40" t="n">
        <x:v>1</x:v>
      </x:c>
      <x:c r="U98" s="40" t="n">
        <x:v>1</x:v>
      </x:c>
      <x:c r="V98" s="40" t="n">
        <x:v>0.6601899892753582</x:v>
      </x:c>
      <x:c r="W98" s="64" t="str">
        <x:v>Stage 13 – Mixed / Transition</x:v>
      </x:c>
      <x:c r="X98" s="64" t="str">
        <x:v>Rev3M +30.8%; Accel3M -2.7ppt; Stock3M +105.0%; EV/EBITDA 7.5x (80th pct); PeakRatio36M 100%; Multiple3M +41.3%; Earnings-Price Gap -74.2%; CycleHeat 66%. Signals do not fit one dominant state; treat as a transition and require confirmation from the next 1–3 monthly observations.</x:v>
      </x:c>
    </x:row>
    <x:row r="99">
      <x:c r="A99" s="32" t="n">
        <x:v>45991</x:v>
      </x:c>
      <x:c r="B99" s="33" t="n">
        <x:v>4.751</x:v>
      </x:c>
      <x:c r="C99" s="40" t="n">
        <x:f>IFERROR((1+B99)/(1+B98)-1,"")</x:f>
        <x:v>0.056800014700747914</x:v>
      </x:c>
      <x:c r="D99" s="40" t="n">
        <x:f>IFERROR((1+B99)/(1+B96)-1,"")</x:f>
        <x:v>0.9870776034828277</x:v>
      </x:c>
      <x:c r="E99" s="40" t="n">
        <x:f>IFERROR((1+B99)/(1+B93)-1,"")</x:f>
        <x:v>1.5034825004353127</x:v>
      </x:c>
      <x:c r="F99" s="36" t="n">
        <x:v>7.820715834291992</x:v>
      </x:c>
      <x:c r="G99" s="40" t="n">
        <x:f>IFERROR(F99/F96-1,"")</x:f>
        <x:v>0.4905913770418324</x:v>
      </x:c>
      <x:c r="H99" s="38" t="n">
        <x:v>33.02440670665555</x:v>
      </x:c>
      <x:c r="I99" s="40" t="n">
        <x:f>IFERROR(H99/H98-1,"")</x:f>
        <x:v>0</x:v>
      </x:c>
      <x:c r="J99" s="40" t="n">
        <x:f>IFERROR(H99/H96-1,"")</x:f>
        <x:v>0.2990302903701949</x:v>
      </x:c>
      <x:c r="K99" s="40" t="n">
        <x:f>IFERROR(H99/H93-1,"")</x:f>
        <x:v>0.7586460536983917</x:v>
      </x:c>
      <x:c r="L99" s="40" t="n">
        <x:f>IFERROR(J99-J98,"")</x:f>
        <x:v>-0.00897427230557546</x:v>
      </x:c>
      <x:c r="M99" s="40" t="n">
        <x:f>IFERROR(J99-D99,"")</x:f>
        <x:v>-0.6880473131126328</x:v>
      </x:c>
      <x:c r="N99" s="42" t="str">
        <x:f>IF(J99&lt;0,IF(D99&lt;0,"Down-cycle","Price up / earnings down"),IF(AND(J99&gt;0,L99&lt;0,M99&lt;-0.15),"Late-cycle warning",IF(AND(J99&gt;0,M99&gt;0),"Earnings-led expansion",IF(AND(J99&gt;0,D99&lt;0),"Potential dislocation",IF(AND(J99&gt;0,M99&lt;0),"Price ahead / rerating","Neutral")))))</x:f>
        <x:v>Late-cycle warning</x:v>
      </x:c>
      <x:c r="O99" s="40" t="n">
        <x:v>-0.05478421783285592</x:v>
      </x:c>
      <x:c r="P99" s="40" t="n">
        <x:v>0.8823529411764706</x:v>
      </x:c>
      <x:c r="Q99" s="40" t="n">
        <x:v>0.4</x:v>
      </x:c>
      <x:c r="R99" s="40" t="n">
        <x:v>0.8112172088866959</x:v>
      </x:c>
      <x:c r="S99" s="40" t="n">
        <x:v>0.1887827911133041</x:v>
      </x:c>
      <x:c r="T99" s="40" t="n">
        <x:v>1</x:v>
      </x:c>
      <x:c r="U99" s="40" t="n">
        <x:v>1</x:v>
      </x:c>
      <x:c r="V99" s="40" t="n">
        <x:v>0.6465800876344255</x:v>
      </x:c>
      <x:c r="W99" s="64" t="str">
        <x:v>Stage 13 – Mixed / Transition</x:v>
      </x:c>
      <x:c r="X99" s="64" t="str">
        <x:v>Rev3M +29.9%; Accel3M -5.5ppt; Stock3M +98.7%; EV/EBITDA 7.8x (81th pct); PeakRatio36M 100%; Multiple3M +49.1%; Earnings-Price Gap -68.8%; CycleHeat 65%. Signals do not fit one dominant state; treat as a transition and require confirmation from the next 1–3 monthly observations.</x:v>
      </x:c>
    </x:row>
    <x:row r="100">
      <x:c r="A100" s="32" t="n">
        <x:v>46022</x:v>
      </x:c>
      <x:c r="B100" s="33" t="n">
        <x:v>5.9409</x:v>
      </x:c>
      <x:c r="C100" s="40" t="n">
        <x:f>IFERROR((1+B100)/(1+B99)-1,"")</x:f>
        <x:v>0.20690314727873416</x:v>
      </x:c>
      <x:c r="D100" s="40" t="n">
        <x:f>IFERROR((1+B100)/(1+B97)-1,"")</x:f>
        <x:v>0.7057580300312105</x:v>
      </x:c>
      <x:c r="E100" s="40" t="n">
        <x:f>IFERROR((1+B100)/(1+B94)-1,"")</x:f>
        <x:v>1.3157174790644914</x:v>
      </x:c>
      <x:c r="F100" s="36" t="n">
        <x:v>4.928556754670091</x:v>
      </x:c>
      <x:c r="G100" s="40" t="n">
        <x:f>IFERROR(F100/F97-1,"")</x:f>
        <x:v>-0.22600171200178643</x:v>
      </x:c>
      <x:c r="H100" s="38" t="n">
        <x:v>64.841516270226</x:v>
      </x:c>
      <x:c r="I100" s="40" t="n">
        <x:f>IFERROR(H100/H99-1,"")</x:f>
        <x:v>0.9634422760775354</x:v>
      </x:c>
      <x:c r="J100" s="40" t="n">
        <x:f>IFERROR(H100/H97-1,"")</x:f>
        <x:v>1.1033810058860904</x:v>
      </x:c>
      <x:c r="K100" s="40" t="n">
        <x:f>IFERROR(H100/H94-1,"")</x:f>
        <x:v>2.0505413885222055</x:v>
      </x:c>
      <x:c r="L100" s="40" t="n">
        <x:f>IFERROR(J100-J99,"")</x:f>
        <x:v>0.8043507155158955</x:v>
      </x:c>
      <x:c r="M100" s="40" t="n">
        <x:f>IFERROR(J100-D100,"")</x:f>
        <x:v>0.39762297585487993</x:v>
      </x:c>
      <x:c r="N100" s="42" t="str">
        <x:f>IF(J100&lt;0,IF(D100&lt;0,"Down-cycle","Price up / earnings down"),IF(AND(J100&gt;0,L100&lt;0,M100&lt;-0.15),"Late-cycle warning",IF(AND(J100&gt;0,M100&gt;0),"Earnings-led expansion",IF(AND(J100&gt;0,D100&lt;0),"Potential dislocation",IF(AND(J100&gt;0,M100&lt;0),"Price ahead / rerating","Neutral")))))</x:f>
        <x:v>Earnings-led expansion</x:v>
      </x:c>
      <x:c r="O100" s="40" t="n">
        <x:v>0.653077242570939</x:v>
      </x:c>
      <x:c r="P100" s="40" t="n">
        <x:v>1</x:v>
      </x:c>
      <x:c r="Q100" s="40" t="n">
        <x:v>0.9732442259648021</x:v>
      </x:c>
      <x:c r="R100" s="40" t="n">
        <x:v>0.4507042253521127</x:v>
      </x:c>
      <x:c r="S100" s="40" t="n">
        <x:v>0.5492957746478873</x:v>
      </x:c>
      <x:c r="T100" s="40" t="n">
        <x:v>1</x:v>
      </x:c>
      <x:c r="U100" s="40" t="n">
        <x:v>1</x:v>
      </x:c>
      <x:c r="V100" s="40" t="n">
        <x:v>0.903170211420778</x:v>
      </x:c>
      <x:c r="W100" s="64" t="str">
        <x:v>Stage 7 – Earnings Acceleration</x:v>
      </x:c>
      <x:c r="X100" s="64" t="str">
        <x:v>Rev3M +110.3%; Accel3M +65.3ppt; Stock3M +70.6%; EV/EBITDA 4.9x (45th pct); PeakRatio36M 100%; Multiple3M -22.6%; Earnings-Price Gap +39.8%; CycleHeat 90%. EBITDA revision strength is in a high historical percentile and revision momentum is still accelerating.</x:v>
      </x:c>
    </x:row>
    <x:row r="101">
      <x:c r="A101" s="32" t="n">
        <x:v>46053</x:v>
      </x:c>
      <x:c r="B101" s="33" t="n">
        <x:v>9.0895</x:v>
      </x:c>
      <x:c r="C101" s="40" t="n">
        <x:f>IFERROR((1+B101)/(1+B100)-1,"")</x:f>
        <x:v>0.45362993271765895</x:v>
      </x:c>
      <x:c r="D101" s="40" t="n">
        <x:f>IFERROR((1+B101)/(1+B98)-1,"")</x:f>
        <x:v>0.8540399492824196</x:v>
      </x:c>
      <x:c r="E101" s="40" t="n">
        <x:f>IFERROR((1+B101)/(1+B95)-1,"")</x:f>
        <x:v>2.8013337352121166</x:v>
      </x:c>
      <x:c r="F101" s="36" t="n">
        <x:v>6.859978983555969</x:v>
      </x:c>
      <x:c r="G101" s="40" t="n">
        <x:f>IFERROR(F101/F98-1,"")</x:f>
        <x:v>-0.08549018246546836</x:v>
      </x:c>
      <x:c r="H101" s="38" t="n">
        <x:v>67.57608818767419</x:v>
      </x:c>
      <x:c r="I101" s="40" t="n">
        <x:f>IFERROR(H101/H100-1,"")</x:f>
        <x:v>0.04217316427413431</x:v>
      </x:c>
      <x:c r="J101" s="40" t="n">
        <x:f>IFERROR(H101/H98-1,"")</x:f>
        <x:v>1.0462468497293336</x:v>
      </x:c>
      <x:c r="K101" s="40" t="n">
        <x:f>IFERROR(H101/H95-1,"")</x:f>
        <x:v>1.67650021580689</x:v>
      </x:c>
      <x:c r="L101" s="40" t="n">
        <x:f>IFERROR(J101-J100,"")</x:f>
        <x:v>-0.05713415615675688</x:v>
      </x:c>
      <x:c r="M101" s="40" t="n">
        <x:f>IFERROR(J101-D101,"")</x:f>
        <x:v>0.19220690044691402</x:v>
      </x:c>
      <x:c r="N101" s="42" t="str">
        <x:f>IF(J101&lt;0,IF(D101&lt;0,"Down-cycle","Price up / earnings down"),IF(AND(J101&gt;0,L101&lt;0,M101&lt;-0.15),"Late-cycle warning",IF(AND(J101&gt;0,M101&gt;0),"Earnings-led expansion",IF(AND(J101&gt;0,D101&lt;0),"Potential dislocation",IF(AND(J101&gt;0,M101&lt;0),"Price ahead / rerating","Neutral")))))</x:f>
        <x:v>Earnings-led expansion</x:v>
      </x:c>
      <x:c r="O101" s="40" t="n">
        <x:v>0.7382422870535632</x:v>
      </x:c>
      <x:c r="P101" s="40" t="n">
        <x:v>1</x:v>
      </x:c>
      <x:c r="Q101" s="40" t="n">
        <x:v>0.9886827790181911</x:v>
      </x:c>
      <x:c r="R101" s="40" t="n">
        <x:v>0.7393527109422174</x:v>
      </x:c>
      <x:c r="S101" s="40" t="n">
        <x:v>0.26064728905778256</x:v>
      </x:c>
      <x:c r="T101" s="40" t="n">
        <x:v>1</x:v>
      </x:c>
      <x:c r="U101" s="40" t="n">
        <x:v>1</x:v>
      </x:c>
      <x:c r="V101" s="40" t="n">
        <x:v>0.8493001525661044</x:v>
      </x:c>
      <x:c r="W101" s="64" t="str">
        <x:v>Stage 7 – Earnings Acceleration</x:v>
      </x:c>
      <x:c r="X101" s="64" t="str">
        <x:v>Rev3M +104.6%; Accel3M +73.8ppt; Stock3M +85.4%; EV/EBITDA 6.9x (74th pct); PeakRatio36M 100%; Multiple3M -8.5%; Earnings-Price Gap +19.2%; CycleHeat 85%. EBITDA revision strength is in a high historical percentile and revision momentum is still accelerating.</x:v>
      </x:c>
    </x:row>
    <x:row r="102">
      <x:c r="A102" s="32" t="n">
        <x:v>46081</x:v>
      </x:c>
      <x:c r="B102" s="33" t="n">
        <x:v>9.0285</x:v>
      </x:c>
      <x:c r="C102" s="40" t="n">
        <x:f>IFERROR((1+B102)/(1+B101)-1,"")</x:f>
        <x:v>-0.006045889290846929</x:v>
      </x:c>
      <x:c r="D102" s="40" t="n">
        <x:f>IFERROR((1+B102)/(1+B99)-1,"")</x:f>
        <x:v>0.7437836897930792</x:v>
      </x:c>
      <x:c r="E102" s="40" t="n">
        <x:f>IFERROR((1+B102)/(1+B96)-1,"")</x:f>
        <x:v>2.465033515306475</x:v>
      </x:c>
      <x:c r="F102" s="36" t="n">
        <x:v>6.311006088640939</x:v>
      </x:c>
      <x:c r="G102" s="40" t="n">
        <x:f>IFERROR(F102/F99-1,"")</x:f>
        <x:v>-0.19303984157451826</x:v>
      </x:c>
      <x:c r="H102" s="38" t="n">
        <x:v>70.42598565581635</x:v>
      </x:c>
      <x:c r="I102" s="40" t="n">
        <x:f>IFERROR(H102/H101-1,"")</x:f>
        <x:v>0.04217316427413409</x:v>
      </x:c>
      <x:c r="J102" s="40" t="n">
        <x:f>IFERROR(H102/H99-1,"")</x:f>
        <x:v>1.1325435542683984</x:v>
      </x:c>
      <x:c r="K102" s="40" t="n">
        <x:f>IFERROR(H102/H96-1,"")</x:f>
        <x:v>1.7702386725283645</x:v>
      </x:c>
      <x:c r="L102" s="40" t="n">
        <x:f>IFERROR(J102-J101,"")</x:f>
        <x:v>0.0862967045390648</x:v>
      </x:c>
      <x:c r="M102" s="40" t="n">
        <x:f>IFERROR(J102-D102,"")</x:f>
        <x:v>0.3887598644753192</x:v>
      </x:c>
      <x:c r="N102" s="42" t="str">
        <x:f>IF(J102&lt;0,IF(D102&lt;0,"Down-cycle","Price up / earnings down"),IF(AND(J102&gt;0,L102&lt;0,M102&lt;-0.15),"Late-cycle warning",IF(AND(J102&gt;0,M102&gt;0),"Earnings-led expansion",IF(AND(J102&gt;0,D102&lt;0),"Potential dislocation",IF(AND(J102&gt;0,M102&lt;0),"Price ahead / rerating","Neutral")))))</x:f>
        <x:v>Earnings-led expansion</x:v>
      </x:c>
      <x:c r="O102" s="40" t="n">
        <x:v>0.8335132638982035</x:v>
      </x:c>
      <x:c r="P102" s="40" t="n">
        <x:v>1</x:v>
      </x:c>
      <x:c r="Q102" s="40" t="n">
        <x:v>1</x:v>
      </x:c>
      <x:c r="R102" s="40" t="n">
        <x:v>0.6841496973920114</x:v>
      </x:c>
      <x:c r="S102" s="40" t="n">
        <x:v>0.31585030260798863</x:v>
      </x:c>
      <x:c r="T102" s="40" t="n">
        <x:v>1</x:v>
      </x:c>
      <x:c r="U102" s="40" t="n">
        <x:v>1</x:v>
      </x:c>
      <x:c r="V102" s="40" t="n">
        <x:v>0.8631700605215977</x:v>
      </x:c>
      <x:c r="W102" s="64" t="str">
        <x:v>Stage 7 – Earnings Acceleration</x:v>
      </x:c>
      <x:c r="X102" s="64" t="str">
        <x:v>Rev3M +113.3%; Accel3M +83.4ppt; Stock3M +74.4%; EV/EBITDA 6.3x (68th pct); PeakRatio36M 100%; Multiple3M -19.3%; Earnings-Price Gap +38.9%; CycleHeat 86%. EBITDA revision strength is in a high historical percentile and revision momentum is still accelerating.</x:v>
      </x:c>
    </x:row>
    <x:row r="103">
      <x:c r="A103" s="32" t="n">
        <x:v>46112</x:v>
      </x:c>
      <x:c r="B103" s="33" t="n">
        <x:v>7.216</x:v>
      </x:c>
      <x:c r="C103" s="40" t="n">
        <x:f>IFERROR((1+B103)/(1+B102)-1,"")</x:f>
        <x:v>-0.18073490551926996</x:v>
      </x:c>
      <x:c r="D103" s="40" t="n">
        <x:f>IFERROR((1+B103)/(1+B100)-1,"")</x:f>
        <x:v>0.18370816464723605</x:v>
      </x:c>
      <x:c r="E103" s="40" t="n">
        <x:f>IFERROR((1+B103)/(1+B97)-1,"")</x:f>
        <x:v>1.0191197070605291</x:v>
      </x:c>
      <x:c r="F103" s="36" t="n">
        <x:v>2.865910033160496</x:v>
      </x:c>
      <x:c r="G103" s="40" t="n">
        <x:f>IFERROR(F103/F100-1,"")</x:f>
        <x:v>-0.41850927648446345</x:v>
      </x:c>
      <x:c r="H103" s="38" t="n">
        <x:v>138.27735757105992</x:v>
      </x:c>
      <x:c r="I103" s="40" t="n">
        <x:f>IFERROR(H103/H102-1,"")</x:f>
        <x:v>0.9634422760775356</x:v>
      </x:c>
      <x:c r="J103" s="40" t="n">
        <x:f>IFERROR(H103/H100-1,"")</x:f>
        <x:v>1.1325435542683984</x:v>
      </x:c>
      <x:c r="K103" s="40" t="n">
        <x:f>IFERROR(H103/H97-1,"")</x:f>
        <x:v>3.4855516062729626</x:v>
      </x:c>
      <x:c r="L103" s="40" t="n">
        <x:f>IFERROR(J103-J102,"")</x:f>
        <x:v>0</x:v>
      </x:c>
      <x:c r="M103" s="40" t="n">
        <x:f>IFERROR(J103-D103,"")</x:f>
        <x:v>0.9488353896211623</x:v>
      </x:c>
      <x:c r="N103" s="42" t="str">
        <x:f>IF(J103&lt;0,IF(D103&lt;0,"Down-cycle","Price up / earnings down"),IF(AND(J103&gt;0,L103&lt;0,M103&lt;-0.15),"Late-cycle warning",IF(AND(J103&gt;0,M103&gt;0),"Earnings-led expansion",IF(AND(J103&gt;0,D103&lt;0),"Potential dislocation",IF(AND(J103&gt;0,M103&lt;0),"Price ahead / rerating","Neutral")))))</x:f>
        <x:v>Earnings-led expansion</x:v>
      </x:c>
      <x:c r="O103" s="40" t="n">
        <x:v>0.029162548382307918</x:v>
      </x:c>
      <x:c r="P103" s="40" t="n">
        <x:v>1</x:v>
      </x:c>
      <x:c r="Q103" s="40" t="n">
        <x:v>0.4923792086047313</x:v>
      </x:c>
      <x:c r="R103" s="40" t="n">
        <x:v>0.0917747098273763</x:v>
      </x:c>
      <x:c r="S103" s="40" t="n">
        <x:v>0.9082252901726237</x:v>
      </x:c>
      <x:c r="T103" s="40" t="n">
        <x:v>0.828789388072407</x:v>
      </x:c>
      <x:c r="U103" s="40" t="n">
        <x:v>1</x:v>
      </x:c>
      <x:c r="V103" s="40" t="n">
        <x:v>0.820497737800189</x:v>
      </x:c>
      <x:c r="W103" s="64" t="str">
        <x:v>Stage 8 – High-Cycle Expansion</x:v>
      </x:c>
      <x:c r="X103" s="64" t="str">
        <x:v>Rev3M +113.3%; Accel3M +2.9ppt; Stock3M +18.4%; EV/EBITDA 2.9x (9th pct); PeakRatio36M 100%; Multiple3M -41.9%; Earnings-Price Gap +94.9%; CycleHeat 82%. Forward EBITDA is near a 36M high, revisions remain positive, and EV/EBITDA is at a low historical percentile—classic high-profit-cycle conditions.</x:v>
      </x:c>
    </x:row>
    <x:row r="104">
      <x:c r="A104" s="32" t="n">
        <x:v>46142</x:v>
      </x:c>
      <x:c r="B104" s="33" t="n">
        <x:v>11.5768</x:v>
      </x:c>
      <x:c r="C104" s="40" t="n">
        <x:f>IFERROR((1+B104)/(1+B103)-1,"")</x:f>
        <x:v>0.5307692307692307</x:v>
      </x:c>
      <x:c r="D104" s="40" t="n">
        <x:f>IFERROR((1+B104)/(1+B101)-1,"")</x:f>
        <x:v>0.2465236136577631</x:v>
      </x:c>
      <x:c r="E104" s="40" t="n">
        <x:f>IFERROR((1+B104)/(1+B98)-1,"")</x:f>
        <x:v>1.3111045774453776</x:v>
      </x:c>
      <x:c r="F104" s="36" t="n">
        <x:v>4.208744411894197</x:v>
      </x:c>
      <x:c r="G104" s="40" t="n">
        <x:f>IFERROR(F104/F101-1,"")</x:f>
        <x:v>-0.38647852683179307</x:v>
      </x:c>
      <x:c r="H104" s="38" t="n">
        <x:v>136.3864137156475</x:v>
      </x:c>
      <x:c r="I104" s="40" t="n">
        <x:f>IFERROR(H104/H103-1,"")</x:f>
        <x:v>-0.013675007164066444</x:v>
      </x:c>
      <x:c r="J104" s="40" t="n">
        <x:f>IFERROR(H104/H101-1,"")</x:f>
        <x:v>1.0182644093998365</x:v>
      </x:c>
      <x:c r="K104" s="40" t="n">
        <x:f>IFERROR(H104/H98-1,"")</x:f>
        <x:v>3.129867189655249</x:v>
      </x:c>
      <x:c r="L104" s="40" t="n">
        <x:f>IFERROR(J104-J103,"")</x:f>
        <x:v>-0.11427914486856183</x:v>
      </x:c>
      <x:c r="M104" s="40" t="n">
        <x:f>IFERROR(J104-D104,"")</x:f>
        <x:v>0.7717407957420734</x:v>
      </x:c>
      <x:c r="N104" s="42" t="str">
        <x:f>IF(J104&lt;0,IF(D104&lt;0,"Down-cycle","Price up / earnings down"),IF(AND(J104&gt;0,L104&lt;0,M104&lt;-0.15),"Late-cycle warning",IF(AND(J104&gt;0,M104&gt;0),"Earnings-led expansion",IF(AND(J104&gt;0,D104&lt;0),"Potential dislocation",IF(AND(J104&gt;0,M104&lt;0),"Price ahead / rerating","Neutral")))))</x:f>
        <x:v>Earnings-led expansion</x:v>
      </x:c>
      <x:c r="O104" s="40" t="n">
        <x:v>-0.027982440329497038</x:v>
      </x:c>
      <x:c r="P104" s="40" t="n">
        <x:v>1</x:v>
      </x:c>
      <x:c r="Q104" s="40" t="n">
        <x:v>0.4363587475567175</x:v>
      </x:c>
      <x:c r="R104" s="40" t="n">
        <x:v>0.30513632072459174</x:v>
      </x:c>
      <x:c r="S104" s="40" t="n">
        <x:v>0.6948636792754083</x:v>
      </x:c>
      <x:c r="T104" s="40" t="n">
        <x:v>0.8784064977243882</x:v>
      </x:c>
      <x:c r="U104" s="40" t="n">
        <x:v>0.9863249928359336</x:v>
      </x:c>
      <x:c r="V104" s="40" t="n">
        <x:v>0.7737437222891387</x:v>
      </x:c>
      <x:c r="W104" s="64" t="str">
        <x:v>Stage 9 – Late-Cycle Deceleration</x:v>
      </x:c>
      <x:c r="X104" s="64" t="str">
        <x:v>Rev3M +101.8%; Accel3M -2.8ppt; Stock3M +24.7%; EV/EBITDA 4.2x (31th pct); PeakRatio36M 99%; Multiple3M -38.6%; Earnings-Price Gap +77.2%; CycleHeat 77%. Earnings remain near peak and revisions are still positive, but revision acceleration has turned negative while valuation remains cycle-hot.</x:v>
      </x:c>
    </x:row>
    <x:row r="105">
      <x:c r="A105" s="32" t="n">
        <x:v>46173</x:v>
      </x:c>
      <x:c r="B105" s="33" t="n">
        <x:v>22.6138</x:v>
      </x:c>
      <x:c r="C105" s="40" t="n">
        <x:f>IFERROR((1+B105)/(1+B104)-1,"")</x:f>
        <x:v>0.8775682208510909</x:v>
      </x:c>
      <x:c r="D105" s="40" t="n">
        <x:f>IFERROR((1+B105)/(1+B102)-1,"")</x:f>
        <x:v>1.354669192800519</x:v>
      </x:c>
      <x:c r="E105" s="40" t="n">
        <x:f>IFERROR((1+B105)/(1+B99)-1,"")</x:f>
        <x:v>3.1060337332637804</x:v>
      </x:c>
      <x:c r="F105" s="36" t="n">
        <x:v>7.259446063381459</x:v>
      </x:c>
      <x:c r="G105" s="40" t="n">
        <x:f>IFERROR(F105/F102-1,"")</x:f>
        <x:v>0.15028348276316827</x:v>
      </x:c>
      <x:c r="H105" s="38" t="n">
        <x:v>144.10895128729743</x:v>
      </x:c>
      <x:c r="I105" s="40" t="n">
        <x:f>IFERROR(H105/H104-1,"")</x:f>
        <x:v>0.056622484316881216</x:v>
      </x:c>
      <x:c r="J105" s="40" t="n">
        <x:f>IFERROR(H105/H102-1,"")</x:f>
        <x:v>1.0462468497293336</x:v>
      </x:c>
      <x:c r="K105" s="40" t="n">
        <x:f>IFERROR(H105/H99-1,"")</x:f>
        <x:v>3.3637105298323053</x:v>
      </x:c>
      <x:c r="L105" s="40" t="n">
        <x:f>IFERROR(J105-J104,"")</x:f>
        <x:v>0.027982440329497038</x:v>
      </x:c>
      <x:c r="M105" s="40" t="n">
        <x:f>IFERROR(J105-D105,"")</x:f>
        <x:v>-0.30842234307118543</x:v>
      </x:c>
      <x:c r="N105" s="42" t="str">
        <x:f>IF(J105&lt;0,IF(D105&lt;0,"Down-cycle","Price up / earnings down"),IF(AND(J105&gt;0,L105&lt;0,M105&lt;-0.15),"Late-cycle warning",IF(AND(J105&gt;0,M105&gt;0),"Earnings-led expansion",IF(AND(J105&gt;0,D105&lt;0),"Potential dislocation",IF(AND(J105&gt;0,M105&lt;0),"Price ahead / rerating","Neutral")))))</x:f>
        <x:v>Price ahead / rerating</x:v>
      </x:c>
      <x:c r="O105" s="40" t="n">
        <x:v>-0.0862967045390648</x:v>
      </x:c>
      <x:c r="P105" s="40" t="n">
        <x:v>1</x:v>
      </x:c>
      <x:c r="Q105" s="40" t="n">
        <x:v>0.3220471765733482</x:v>
      </x:c>
      <x:c r="R105" s="40" t="n">
        <x:v>0.7894168688109255</x:v>
      </x:c>
      <x:c r="S105" s="40" t="n">
        <x:v>0.21058313118907446</x:v>
      </x:c>
      <x:c r="T105" s="40" t="n">
        <x:v>1</x:v>
      </x:c>
      <x:c r="U105" s="40" t="n">
        <x:v>1</x:v>
      </x:c>
      <x:c r="V105" s="40" t="n">
        <x:v>0.6726284203811519</x:v>
      </x:c>
      <x:c r="W105" s="64" t="str">
        <x:v>Stage 13 – Mixed / Transition</x:v>
      </x:c>
      <x:c r="X105" s="64" t="str">
        <x:v>Rev3M +104.6%; Accel3M -8.6ppt; Stock3M +135.5%; EV/EBITDA 7.3x (79th pct); PeakRatio36M 100%; Multiple3M +15.0%; Earnings-Price Gap -30.8%; CycleHeat 67%. Signals do not fit one dominant state; treat as a transition and require confirmation from the next 1–3 monthly observations.</x:v>
      </x:c>
    </x:row>
    <x:row r="106">
      <x:c r="A106" s="32" t="n">
        <x:v>46203</x:v>
      </x:c>
      <x:c r="B106" s="33" t="n">
        <x:v>27.0713</x:v>
      </x:c>
      <x:c r="C106" s="40" t="n">
        <x:f>IFERROR((1+B106)/(1+B105)-1,"")</x:f>
        <x:v>0.1887667380938265</x:v>
      </x:c>
      <x:c r="D106" s="40" t="n">
        <x:f>IFERROR((1+B106)/(1+B103)-1,"")</x:f>
        <x:v>2.4166626095423562</x:v>
      </x:c>
      <x:c r="E106" s="40" t="n">
        <x:f>IFERROR((1+B106)/(1+B100)-1,"")</x:f>
        <x:v>3.044331426760219</x:v>
      </x:c>
      <x:c r="F106" s="36" t="n">
        <x:v>6.859978983555969</x:v>
      </x:c>
      <x:c r="G106" s="40" t="n">
        <x:f>IFERROR(F106/F103-1,"")</x:f>
        <x:v>1.3936477084700578</x:v>
      </x:c>
      <x:c r="H106" s="38" t="n">
        <x:v>173.54833229050615</x:v>
      </x:c>
      <x:c r="I106" s="40" t="n">
        <x:f>IFERROR(H106/H105-1,"")</x:f>
        <x:v>0.2042855821254157</x:v>
      </x:c>
      <x:c r="J106" s="40" t="n">
        <x:f>IFERROR(H106/H103-1,"")</x:f>
        <x:v>0.25507411581336226</x:v>
      </x:c>
      <x:c r="K106" s="40" t="n">
        <x:f>IFERROR(H106/H100-1,"")</x:f>
        <x:v>1.676500215806895</x:v>
      </x:c>
      <x:c r="L106" s="40" t="n">
        <x:f>IFERROR(J106-J105,"")</x:f>
        <x:v>-0.7911727339159713</x:v>
      </x:c>
      <x:c r="M106" s="40" t="n">
        <x:f>IFERROR(J106-D106,"")</x:f>
        <x:v>-2.1615884937289938</x:v>
      </x:c>
      <x:c r="N106" s="42" t="str">
        <x:f>IF(J106&lt;0,IF(D106&lt;0,"Down-cycle","Price up / earnings down"),IF(AND(J106&gt;0,L106&lt;0,M106&lt;-0.15),"Late-cycle warning",IF(AND(J106&gt;0,M106&gt;0),"Earnings-led expansion",IF(AND(J106&gt;0,D106&lt;0),"Potential dislocation",IF(AND(J106&gt;0,M106&lt;0),"Price ahead / rerating","Neutral")))))</x:f>
        <x:v>Late-cycle warning</x:v>
      </x:c>
      <x:c r="O106" s="40" t="n">
        <x:v>-0.8774694384550361</x:v>
      </x:c>
      <x:c r="P106" s="40" t="n">
        <x:v>0.8676470588235309</x:v>
      </x:c>
      <x:c r="Q106" s="40" t="n">
        <x:v>0</x:v>
      </x:c>
      <x:c r="R106" s="40" t="n">
        <x:v>0.7393527109422174</x:v>
      </x:c>
      <x:c r="S106" s="40" t="n">
        <x:v>0.26064728905778256</x:v>
      </x:c>
      <x:c r="T106" s="40" t="n">
        <x:v>1</x:v>
      </x:c>
      <x:c r="U106" s="40" t="n">
        <x:v>1</x:v>
      </x:c>
      <x:c r="V106" s="40" t="n">
        <x:v>0.5558059283997923</x:v>
      </x:c>
      <x:c r="W106" s="64" t="str">
        <x:v>Stage 13 – Mixed / Transition</x:v>
      </x:c>
      <x:c r="X106" s="64" t="str">
        <x:v>Rev3M +25.5%; Accel3M -87.7ppt; Stock3M +241.7%; EV/EBITDA 6.9x (74th pct); PeakRatio36M 100%; Multiple3M +139.4%; Earnings-Price Gap -216.2%; CycleHeat 56%. Signals do not fit one dominant state; treat as a transition and require confirmation from the next 1–3 monthly observations.</x:v>
      </x:c>
    </x:row>
    <x:row r="107">
      <x:c r="A107" s="32" t="n">
        <x:v>46234</x:v>
      </x:c>
      <x:c r="B107" s="33" t="n">
        <x:v>19.0153</x:v>
      </x:c>
      <x:c r="C107" s="40" t="n">
        <x:f>IFERROR((1+B107)/(1+B106)-1,"")</x:f>
        <x:v>-0.2869835027234222</x:v>
      </x:c>
      <x:c r="D107" s="40" t="n">
        <x:f>IFERROR((1+B107)/(1+B104)-1,"")</x:f>
        <x:v>0.5914461548247567</x:v>
      </x:c>
      <x:c r="E107" s="40" t="n">
        <x:f>IFERROR((1+B107)/(1+B101)-1,"")</x:f>
        <x:v>0.9837752118539076</x:v>
      </x:c>
      <x:c r="F107" s="36" t="n">
        <x:v>4.4938069669733975</x:v>
      </x:c>
      <x:c r="G107" s="40" t="n">
        <x:f>IFERROR(F107/F104-1,"")</x:f>
        <x:v>0.06773102074661375</x:v>
      </x:c>
      <x:c r="H107" s="38" t="n">
        <x:v>167.67585891959288</x:v>
      </x:c>
      <x:c r="I107" s="40" t="n">
        <x:f>IFERROR(H107/H106-1,"")</x:f>
        <x:v>-0.03383768252571406</x:v>
      </x:c>
      <x:c r="J107" s="40" t="n">
        <x:f>IFERROR(H107/H104-1,"")</x:f>
        <x:v>0.22941761097392632</x:v>
      </x:c>
      <x:c r="K107" s="40" t="n">
        <x:f>IFERROR(H107/H101-1,"")</x:f>
        <x:v>1.4812898085180493</x:v>
      </x:c>
      <x:c r="L107" s="40" t="n">
        <x:f>IFERROR(J107-J106,"")</x:f>
        <x:v>-0.025656504839435934</x:v>
      </x:c>
      <x:c r="M107" s="40" t="n">
        <x:f>IFERROR(J107-D107,"")</x:f>
        <x:v>-0.3620285438508304</x:v>
      </x:c>
      <x:c r="N107" s="42" t="str">
        <x:f>IF(J107&lt;0,IF(D107&lt;0,"Down-cycle","Price up / earnings down"),IF(AND(J107&gt;0,L107&lt;0,M107&lt;-0.15),"Late-cycle warning",IF(AND(J107&gt;0,M107&gt;0),"Earnings-led expansion",IF(AND(J107&gt;0,D107&lt;0),"Potential dislocation",IF(AND(J107&gt;0,M107&lt;0),"Price ahead / rerating","Neutral")))))</x:f>
        <x:v>Late-cycle warning</x:v>
      </x:c>
      <x:c r="O107" s="40" t="n">
        <x:v>-0.7888467984259102</x:v>
      </x:c>
      <x:c r="P107" s="40" t="n">
        <x:v>0.8626435113752255</x:v>
      </x:c>
      <x:c r="Q107" s="40" t="n">
        <x:v>0</x:v>
      </x:c>
      <x:c r="R107" s="40" t="n">
        <x:v>0.352112676056338</x:v>
      </x:c>
      <x:c r="S107" s="40" t="n">
        <x:v>0.647887323943662</x:v>
      </x:c>
      <x:c r="T107" s="40" t="n">
        <x:v>0.9969620973655564</x:v>
      </x:c>
      <x:c r="U107" s="40" t="n">
        <x:v>0.9661623174742859</x:v>
      </x:c>
      <x:c r="V107" s="40" t="n">
        <x:v>0.6308951132431726</x:v>
      </x:c>
      <x:c r="W107" s="64" t="str">
        <x:v>Stage 13 – Mixed / Transition</x:v>
      </x:c>
      <x:c r="X107" s="64" t="str">
        <x:v>Rev3M +22.9%; Accel3M -78.9ppt; Stock3M +59.1%; EV/EBITDA 4.5x (35th pct); PeakRatio36M 97%; Multiple3M +6.8%; Earnings-Price Gap -36.2%; CycleHeat 63%. Signals do not fit one dominant state; treat as a transition and require confirmation from the next 1–3 monthly observations.</x:v>
      </x:c>
    </x:row>
    <x:row r="108">
      <x:c r="A108" s="32" t="n">
        <x:v>46240</x:v>
      </x:c>
      <x:c r="B108" s="33" t="n">
        <x:v>20.4365</x:v>
      </x:c>
      <x:c r="C108" s="40" t="n">
        <x:f>IFERROR((1+B108)/(1+B107)-1,"")</x:f>
        <x:v>0.07100568065429935</x:v>
      </x:c>
      <x:c r="D108" s="40" t="n">
        <x:f>IFERROR((1+B108)/(1+B105)-1,"")</x:f>
        <x:v>-0.09220455835147257</x:v>
      </x:c>
      <x:c r="E108" s="40" t="n">
        <x:f>IFERROR((1+B108)/(1+B102)-1,"")</x:f>
        <x:v>1.1375579598145285</x:v>
      </x:c>
      <x:c r="F108" s="36" t="n">
        <x:v>4.7</x:v>
      </x:c>
      <x:c r="G108" s="40" t="n">
        <x:f>IFERROR(F108/F105-1,"")</x:f>
        <x:v>-0.3525676809270576</x:v>
      </x:c>
      <x:c r="H108" s="38" t="n">
        <x:v>208.75</x:v>
      </x:c>
      <x:c r="I108" s="40" t="n">
        <x:f>IFERROR(H108/H107-1,"")</x:f>
        <x:v>0.2449615665908338</x:v>
      </x:c>
      <x:c r="J108" s="40" t="n">
        <x:f>IFERROR(H108/H105-1,"")</x:f>
        <x:v>0.448556790784171</x:v>
      </x:c>
      <x:c r="K108" s="40" t="n">
        <x:f>IFERROR(H108/H102-1,"")</x:f>
        <x:v>1.9641047697961431</x:v>
      </x:c>
      <x:c r="L108" s="40" t="n">
        <x:f>IFERROR(J108-J107,"")</x:f>
        <x:v>0.21913917981024467</x:v>
      </x:c>
      <x:c r="M108" s="40" t="n">
        <x:f>IFERROR(J108-D108,"")</x:f>
        <x:v>0.5407613491356436</x:v>
      </x:c>
      <x:c r="N108" s="42" t="str">
        <x:f>IF(J108&lt;0,IF(D108&lt;0,"Down-cycle","Price up / earnings down"),IF(AND(J108&gt;0,L108&lt;0,M108&lt;-0.15),"Late-cycle warning",IF(AND(J108&gt;0,M108&gt;0),"Earnings-led expansion",IF(AND(J108&gt;0,D108&lt;0),"Potential dislocation",IF(AND(J108&gt;0,M108&lt;0),"Price ahead / rerating","Neutral")))))</x:f>
        <x:v>Earnings-led expansion</x:v>
      </x:c>
      <x:c r="O108" s="40" t="n">
        <x:v>-0.5976900589451626</x:v>
      </x:c>
      <x:c r="P108" s="40" t="n">
        <x:v>0.9550158100375234</x:v>
      </x:c>
      <x:c r="Q108" s="40" t="n">
        <x:v>0.013591149643496947</x:v>
      </x:c>
      <x:c r="R108" s="40" t="n">
        <x:v>0.3769567502690065</x:v>
      </x:c>
      <x:c r="S108" s="40" t="n">
        <x:v>0.6230432497309935</x:v>
      </x:c>
      <x:c r="T108" s="40" t="n">
        <x:v>0.2667666032519258</x:v>
      </x:c>
      <x:c r="U108" s="40" t="n">
        <x:v>1</x:v>
      </x:c>
      <x:c r="V108" s="40" t="n">
        <x:v>0.5156152915205913</x:v>
      </x:c>
      <x:c r="W108" s="64" t="str">
        <x:v>Stage 10 – Price-Led Roll-over</x:v>
      </x:c>
      <x:c r="X108" s="64" t="str">
        <x:v>Rev3M +44.9%; Accel3M -59.8ppt; Stock3M -9.2%; EV/EBITDA 4.7x (38th pct); PeakRatio36M 100%; Multiple3M -35.3%; Earnings-Price Gap +54.1%; CycleHeat 52%. The stock has turned negative before forward EBITDA revisions have turned negative; price may be leading a future earnings slowdown.</x:v>
      </x:c>
    </x:row>
  </x:sheetData>
  <x:mergeCells>
    <x:mergeCell ref="A1:X1"/>
    <x:mergeCell ref="A2:X2"/>
  </x:mergeCells>
  <x:conditionalFormatting sqref="J8:J108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L9:L108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M8:M108">
    <x:cfRule type="colorScale" priority="3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V5:V108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W5:W108">
    <x:cfRule type="expression" dxfId="0" priority="5">
      <x:formula>OR(ISNUMBER(SEARCH("Downturn",W5)),ISNUMBER(SEARCH("Roll-over",W5)))</x:formula>
    </x:cfRule>
    <x:cfRule type="expression" dxfId="1" priority="6">
      <x:formula>OR(ISNUMBER(SEARCH("Recovery",W5)),ISNUMBER(SEARCH("Bottom",W5)),ISNUMBER(SEARCH("Trough",W5)))</x:formula>
    </x:cfRule>
    <x:cfRule type="expression" dxfId="2" priority="7">
      <x:formula>OR(ISNUMBER(SEARCH("Acceleration",W5)),ISNUMBER(SEARCH("High-Cycle",W5)),ISNUMBER(SEARCH("Late-Cycle",W5)))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182469c06d4e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7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  <x:col min="13" max="13" width="22" hidden="0" customWidth="1"/>
    <x:col min="14" max="14" width="24" hidden="0" customWidth="1"/>
    <x:col min="15" max="15" width="22" hidden="0" customWidth="1"/>
    <x:col min="16" max="16" width="22" hidden="0" customWidth="1"/>
    <x:col min="17" max="17" width="24" hidden="0" customWidth="1"/>
    <x:col min="18" max="18" width="23" hidden="0" customWidth="1"/>
    <x:col min="19" max="19" width="17" hidden="0" customWidth="1"/>
    <x:col min="20" max="20" width="24" hidden="0" customWidth="1"/>
    <x:col min="21" max="21" width="22" hidden="0" customWidth="1"/>
    <x:col min="22" max="22" width="17" hidden="0" customWidth="1"/>
    <x:col min="23" max="23" width="31" hidden="0" customWidth="1"/>
    <x:col min="24" max="24" width="82" hidden="0" customWidth="1"/>
  </x:cols>
  <x:sheetData>
    <x:row r="1">
      <x:c r="A1" s="5" t="str">
        <x:v>SK hynix — Stock vs NTM EBITDA vs Valuation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3" t="str">
        <x:v>Stock Performance comes from Koyfin export. EV/EBITDA (NTM) and EBITDA Consensus (NTM) are approximate monthly values digitized from the Koyfin charts. Use the derived growth rates for cycle/trend analysis rather than exact point-in-time valuation.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20" t="str">
        <x:v>Date</x:v>
      </x:c>
      <x:c r="B4" s="20" t="str">
        <x:v>Cumulative Stock Perf</x:v>
      </x:c>
      <x:c r="C4" s="20" t="str">
        <x:v>Stock Return 1M</x:v>
      </x:c>
      <x:c r="D4" s="20" t="str">
        <x:v>Stock Return 3M</x:v>
      </x:c>
      <x:c r="E4" s="20" t="str">
        <x:v>Stock Return 6M</x:v>
      </x:c>
      <x:c r="F4" s="20" t="str">
        <x:v>EV/EBITDA NTM (x)</x:v>
      </x:c>
      <x:c r="G4" s="20" t="str">
        <x:v>Multiple Change 3M</x:v>
      </x:c>
      <x:c r="H4" s="20" t="str">
        <x:v>NTM EBITDA (KRW bn)</x:v>
      </x:c>
      <x:c r="I4" s="20" t="str">
        <x:v>EBITDA Revision 1M</x:v>
      </x:c>
      <x:c r="J4" s="20" t="str">
        <x:v>EBITDA Revision 3M</x:v>
      </x:c>
      <x:c r="K4" s="20" t="str">
        <x:v>EBITDA Revision 6M</x:v>
      </x:c>
      <x:c r="L4" s="20" t="str">
        <x:v>EBITDA Revision Accel</x:v>
      </x:c>
      <x:c r="M4" s="20" t="str">
        <x:v>Earnings - Price Gap 3M</x:v>
      </x:c>
      <x:c r="N4" s="20" t="str">
        <x:v>Signal</x:v>
      </x:c>
      <x:c r="O4" s="63" t="str">
        <x:v>EBITDA Revision Accel 3M</x:v>
      </x:c>
      <x:c r="P4" s="63" t="str">
        <x:v>Revision Hist Percentile</x:v>
      </x:c>
      <x:c r="Q4" s="63" t="str">
        <x:v>Acceleration Hist Percentile</x:v>
      </x:c>
      <x:c r="R4" s="63" t="str">
        <x:v>EV/EBITDA Hist Percentile</x:v>
      </x:c>
      <x:c r="S4" s="63" t="str">
        <x:v>Valuation Heat</x:v>
      </x:c>
      <x:c r="T4" s="63" t="str">
        <x:v>Stock Return Hist Percentile</x:v>
      </x:c>
      <x:c r="U4" s="63" t="str">
        <x:v>EBITDA Peak Ratio (36M)</x:v>
      </x:c>
      <x:c r="V4" s="63" t="str">
        <x:v>Cycle Heat Score</x:v>
      </x:c>
      <x:c r="W4" s="63" t="str">
        <x:v>Cycle Stage</x:v>
      </x:c>
      <x:c r="X4" s="63" t="str">
        <x:v>Cycle Reason</x:v>
      </x:c>
    </x:row>
    <x:row r="5">
      <x:c r="A5" s="32" t="n">
        <x:v>43131</x:v>
      </x:c>
      <x:c r="B5" s="33" t="n">
        <x:v>-0.0392</x:v>
      </x:c>
      <x:c r="C5" s="40"/>
      <x:c r="D5" s="40"/>
      <x:c r="E5" s="40"/>
      <x:c r="F5" s="36" t="n">
        <x:v>2.174899654505428</x:v>
      </x:c>
      <x:c r="G5" s="40"/>
      <x:c r="H5" s="38" t="n">
        <x:v>22941.478874194527</x:v>
      </x:c>
      <x:c r="I5" s="40"/>
      <x:c r="J5" s="40"/>
      <x:c r="K5" s="40"/>
      <x:c r="L5" s="40"/>
      <x:c r="M5" s="40"/>
      <x:c r="N5" s="42"/>
      <x:c r="O5" s="40"/>
      <x:c r="P5" s="40"/>
      <x:c r="Q5" s="40"/>
      <x:c r="R5" s="40" t="n">
        <x:v>0.1267605633802817</x:v>
      </x:c>
      <x:c r="S5" s="40" t="n">
        <x:v>0.8732394366197183</x:v>
      </x:c>
      <x:c r="T5" s="40"/>
      <x:c r="U5" s="40" t="n">
        <x:v>1</x:v>
      </x:c>
      <x:c r="V5" s="40"/>
      <x:c r="W5" s="64" t="str">
        <x:v>Stage 0 – Insufficient History</x:v>
      </x:c>
      <x:c r="X5" s="64" t="str">
        <x:v>Rev3M n/a; Accel3M n/a; Stock3M n/a; EV/EBITDA 2.2x (13th pct); PeakRatio36M 100%; Multiple3M n/a; Earnings-Price Gap n/a; CycleHeat n/a. Not enough 3M history to classify reliably.</x:v>
      </x:c>
    </x:row>
    <x:row r="6">
      <x:c r="A6" s="32" t="n">
        <x:v>43159</x:v>
      </x:c>
      <x:c r="B6" s="33" t="n">
        <x:v>0.0039</x:v>
      </x:c>
      <x:c r="C6" s="40" t="n">
        <x:f>IFERROR((1+B6)/(1+B5)-1,"")</x:f>
        <x:v>0.044858451290591184</x:v>
      </x:c>
      <x:c r="D6" s="40"/>
      <x:c r="E6" s="40"/>
      <x:c r="F6" s="36" t="n">
        <x:v>2.05240739055794</x:v>
      </x:c>
      <x:c r="G6" s="40"/>
      <x:c r="H6" s="38" t="n">
        <x:v>23558.265935448853</x:v>
      </x:c>
      <x:c r="I6" s="40" t="n">
        <x:f>IFERROR(H6/H5-1,"")</x:f>
        <x:v>0.026885235456556078</x:v>
      </x:c>
      <x:c r="J6" s="40"/>
      <x:c r="K6" s="40"/>
      <x:c r="L6" s="40"/>
      <x:c r="M6" s="40"/>
      <x:c r="N6" s="42"/>
      <x:c r="O6" s="40"/>
      <x:c r="P6" s="40"/>
      <x:c r="Q6" s="40"/>
      <x:c r="R6" s="40" t="n">
        <x:v>0.09859154929577464</x:v>
      </x:c>
      <x:c r="S6" s="40" t="n">
        <x:v>0.9014084507042254</x:v>
      </x:c>
      <x:c r="T6" s="40"/>
      <x:c r="U6" s="40" t="n">
        <x:v>1</x:v>
      </x:c>
      <x:c r="V6" s="40"/>
      <x:c r="W6" s="64" t="str">
        <x:v>Stage 0 – Insufficient History</x:v>
      </x:c>
      <x:c r="X6" s="64" t="str">
        <x:v>Rev3M n/a; Accel3M n/a; Stock3M n/a; EV/EBITDA 2.1x (10th pct); PeakRatio36M 100%; Multiple3M n/a; Earnings-Price Gap n/a; CycleHeat n/a. Not enough 3M history to classify reliably.</x:v>
      </x:c>
    </x:row>
    <x:row r="7">
      <x:c r="A7" s="32" t="n">
        <x:v>43190</x:v>
      </x:c>
      <x:c r="B7" s="33" t="n">
        <x:v>0.0627</x:v>
      </x:c>
      <x:c r="C7" s="40" t="n">
        <x:f>IFERROR((1+B7)/(1+B6)-1,"")</x:f>
        <x:v>0.05857157087359299</x:v>
      </x:c>
      <x:c r="D7" s="40"/>
      <x:c r="E7" s="40"/>
      <x:c r="F7" s="36" t="n">
        <x:v>2.366237637554645</x:v>
      </x:c>
      <x:c r="G7" s="40"/>
      <x:c r="H7" s="38" t="n">
        <x:v>24191.635462071557</x:v>
      </x:c>
      <x:c r="I7" s="40" t="n">
        <x:f>IFERROR(H7/H6-1,"")</x:f>
        <x:v>0.026885235456556078</x:v>
      </x:c>
      <x:c r="J7" s="40"/>
      <x:c r="K7" s="40"/>
      <x:c r="L7" s="40"/>
      <x:c r="M7" s="40"/>
      <x:c r="N7" s="42"/>
      <x:c r="O7" s="40"/>
      <x:c r="P7" s="40"/>
      <x:c r="Q7" s="40"/>
      <x:c r="R7" s="40" t="n">
        <x:v>0.18309859154929578</x:v>
      </x:c>
      <x:c r="S7" s="40" t="n">
        <x:v>0.8169014084507042</x:v>
      </x:c>
      <x:c r="T7" s="40"/>
      <x:c r="U7" s="40" t="n">
        <x:v>1</x:v>
      </x:c>
      <x:c r="V7" s="40"/>
      <x:c r="W7" s="64" t="str">
        <x:v>Stage 0 – Insufficient History</x:v>
      </x:c>
      <x:c r="X7" s="64" t="str">
        <x:v>Rev3M n/a; Accel3M n/a; Stock3M n/a; EV/EBITDA 2.4x (18th pct); PeakRatio36M 100%; Multiple3M n/a; Earnings-Price Gap n/a; CycleHeat n/a. Not enough 3M history to classify reliably.</x:v>
      </x:c>
    </x:row>
    <x:row r="8">
      <x:c r="A8" s="32" t="n">
        <x:v>43220</x:v>
      </x:c>
      <x:c r="B8" s="33" t="n">
        <x:v>0.1046</x:v>
      </x:c>
      <x:c r="C8" s="40" t="n">
        <x:f>IFERROR((1+B8)/(1+B7)-1,"")</x:f>
        <x:v>0.03942787240048928</x:v>
      </x:c>
      <x:c r="D8" s="40" t="n">
        <x:f>IFERROR((1+B8)/(1+B5)-1,"")</x:f>
        <x:v>0.14966694421315574</x:v>
      </x:c>
      <x:c r="E8" s="40"/>
      <x:c r="F8" s="36" t="n">
        <x:v>2.2212324410564626</x:v>
      </x:c>
      <x:c r="G8" s="40" t="n">
        <x:f>IFERROR(F8/F5-1,"")</x:f>
        <x:v>0.021303413449468067</x:v>
      </x:c>
      <x:c r="H8" s="38" t="n">
        <x:v>24191.635462071557</x:v>
      </x:c>
      <x:c r="I8" s="40" t="n">
        <x:f>IFERROR(H8/H7-1,"")</x:f>
        <x:v>0</x:v>
      </x:c>
      <x:c r="J8" s="40" t="n">
        <x:f>IFERROR(H8/H5-1,"")</x:f>
        <x:v>0.054493286798666496</x:v>
      </x:c>
      <x:c r="K8" s="40"/>
      <x:c r="L8" s="40"/>
      <x:c r="M8" s="40" t="n">
        <x:f>IFERROR(J8-D8,"")</x:f>
        <x:v>-0.09517365741448924</x:v>
      </x:c>
      <x:c r="N8" s="42"/>
      <x:c r="O8" s="40"/>
      <x:c r="P8" s="40" t="n">
        <x:v>0.5220588235294118</x:v>
      </x:c>
      <x:c r="Q8" s="40"/>
      <x:c r="R8" s="40" t="n">
        <x:v>0.14084507042253522</x:v>
      </x:c>
      <x:c r="S8" s="40" t="n">
        <x:v>0.8591549295774648</x:v>
      </x:c>
      <x:c r="T8" s="40" t="n">
        <x:v>0.7794117647058824</x:v>
      </x:c>
      <x:c r="U8" s="40" t="n">
        <x:v>1</x:v>
      </x:c>
      <x:c r="V8" s="40"/>
      <x:c r="W8" s="64" t="str">
        <x:v>Stage 0 – Insufficient History</x:v>
      </x:c>
      <x:c r="X8" s="64" t="str">
        <x:v>Rev3M +5.4%; Accel3M n/a; Stock3M +15.0%; EV/EBITDA 2.2x (14th pct); PeakRatio36M 100%; Multiple3M +2.1%; Earnings-Price Gap -9.5%; CycleHeat n/a. Not enough 3M history to classify reliably.</x:v>
      </x:c>
    </x:row>
    <x:row r="9">
      <x:c r="A9" s="32" t="n">
        <x:v>43251</x:v>
      </x:c>
      <x:c r="B9" s="33" t="n">
        <x:v>0.2209</x:v>
      </x:c>
      <x:c r="C9" s="40" t="n">
        <x:f>IFERROR((1+B9)/(1+B8)-1,"")</x:f>
        <x:v>0.10528698171283724</x:v>
      </x:c>
      <x:c r="D9" s="40" t="n">
        <x:f>IFERROR((1+B9)/(1+B6)-1,"")</x:f>
        <x:v>0.2161569877477838</x:v>
      </x:c>
      <x:c r="E9" s="40"/>
      <x:c r="F9" s="36" t="n">
        <x:v>2.0632519569666017</x:v>
      </x:c>
      <x:c r="G9" s="40" t="n">
        <x:f>IFERROR(F9/F6-1,"")</x:f>
        <x:v>0.005283827401203034</x:v>
      </x:c>
      <x:c r="H9" s="38" t="n">
        <x:v>24842.033277548522</x:v>
      </x:c>
      <x:c r="I9" s="40" t="n">
        <x:f>IFERROR(H9/H8-1,"")</x:f>
        <x:v>0.026885235456556078</x:v>
      </x:c>
      <x:c r="J9" s="40" t="n">
        <x:f>IFERROR(H9/H6-1,"")</x:f>
        <x:v>0.054493286798666496</x:v>
      </x:c>
      <x:c r="K9" s="40"/>
      <x:c r="L9" s="40" t="n">
        <x:f>IFERROR(J9-J8,"")</x:f>
        <x:v>0</x:v>
      </x:c>
      <x:c r="M9" s="40" t="n">
        <x:f>IFERROR(J9-D9,"")</x:f>
        <x:v>-0.1616637009491173</x:v>
      </x:c>
      <x:c r="N9" s="42" t="str">
        <x:f>IF(J9&lt;0,IF(D9&lt;0,"Down-cycle","Price up / earnings down"),IF(AND(J9&gt;0,L9&lt;0,M9&lt;-0.15),"Late-cycle warning",IF(AND(J9&gt;0,M9&gt;0),"Earnings-led expansion",IF(AND(J9&gt;0,D9&lt;0),"Potential dislocation",IF(AND(J9&gt;0,M9&lt;0),"Price ahead / rerating","Neutral")))))</x:f>
        <x:v>Price ahead / rerating</x:v>
      </x:c>
      <x:c r="O9" s="40"/>
      <x:c r="P9" s="40" t="n">
        <x:v>0.5220588235294118</x:v>
      </x:c>
      <x:c r="Q9" s="40"/>
      <x:c r="R9" s="40" t="n">
        <x:v>0.11267605633802817</x:v>
      </x:c>
      <x:c r="S9" s="40" t="n">
        <x:v>0.8873239436619719</x:v>
      </x:c>
      <x:c r="T9" s="40" t="n">
        <x:v>0.8676470588235294</x:v>
      </x:c>
      <x:c r="U9" s="40" t="n">
        <x:v>1</x:v>
      </x:c>
      <x:c r="V9" s="40"/>
      <x:c r="W9" s="64" t="str">
        <x:v>Stage 0 – Insufficient History</x:v>
      </x:c>
      <x:c r="X9" s="64" t="str">
        <x:v>Rev3M +5.4%; Accel3M n/a; Stock3M +21.6%; EV/EBITDA 2.1x (11th pct); PeakRatio36M 100%; Multiple3M +0.5%; Earnings-Price Gap -16.2%; CycleHeat n/a. Not enough 3M history to classify reliably.</x:v>
      </x:c>
    </x:row>
    <x:row r="10">
      <x:c r="A10" s="32" t="n">
        <x:v>43281</x:v>
      </x:c>
      <x:c r="B10" s="33" t="n">
        <x:v>0.1203</x:v>
      </x:c>
      <x:c r="C10" s="40" t="n">
        <x:f>IFERROR((1+B10)/(1+B9)-1,"")</x:f>
        <x:v>-0.08239823081333442</x:v>
      </x:c>
      <x:c r="D10" s="40" t="n">
        <x:f>IFERROR((1+B10)/(1+B7)-1,"")</x:f>
        <x:v>0.054201562058906694</x:v>
      </x:c>
      <x:c r="E10" s="40"/>
      <x:c r="F10" s="36" t="n">
        <x:v>1.9573356541336873</x:v>
      </x:c>
      <x:c r="G10" s="40" t="n">
        <x:f>IFERROR(F10/F7-1,"")</x:f>
        <x:v>-0.1728068123553016</x:v>
      </x:c>
      <x:c r="H10" s="38" t="n">
        <x:v>28365.907824968825</x:v>
      </x:c>
      <x:c r="I10" s="40" t="n">
        <x:f>IFERROR(H10/H9-1,"")</x:f>
        <x:v>0.1418512932516307</x:v>
      </x:c>
      <x:c r="J10" s="40" t="n">
        <x:f>IFERROR(H10/H7-1,"")</x:f>
        <x:v>0.1725502341270737</x:v>
      </x:c>
      <x:c r="K10" s="40"/>
      <x:c r="L10" s="40" t="n">
        <x:f>IFERROR(J10-J9,"")</x:f>
        <x:v>0.11805694732840721</x:v>
      </x:c>
      <x:c r="M10" s="40" t="n">
        <x:f>IFERROR(J10-D10,"")</x:f>
        <x:v>0.11834867206816702</x:v>
      </x:c>
      <x:c r="N10" s="42" t="str">
        <x:f>IF(J10&lt;0,IF(D10&lt;0,"Down-cycle","Price up / earnings down"),IF(AND(J10&gt;0,L10&lt;0,M10&lt;-0.15),"Late-cycle warning",IF(AND(J10&gt;0,M10&gt;0),"Earnings-led expansion",IF(AND(J10&gt;0,D10&lt;0),"Potential dislocation",IF(AND(J10&gt;0,M10&lt;0),"Price ahead / rerating","Neutral")))))</x:f>
        <x:v>Earnings-led expansion</x:v>
      </x:c>
      <x:c r="O10" s="40"/>
      <x:c r="P10" s="40" t="n">
        <x:v>0.6838235294117647</x:v>
      </x:c>
      <x:c r="Q10" s="40"/>
      <x:c r="R10" s="40" t="n">
        <x:v>0.08450704225352113</x:v>
      </x:c>
      <x:c r="S10" s="40" t="n">
        <x:v>0.9154929577464789</x:v>
      </x:c>
      <x:c r="T10" s="40" t="n">
        <x:v>0.5882352941176471</x:v>
      </x:c>
      <x:c r="U10" s="40" t="n">
        <x:v>1</x:v>
      </x:c>
      <x:c r="V10" s="40"/>
      <x:c r="W10" s="64" t="str">
        <x:v>Stage 0 – Insufficient History</x:v>
      </x:c>
      <x:c r="X10" s="64" t="str">
        <x:v>Rev3M +17.3%; Accel3M n/a; Stock3M +5.4%; EV/EBITDA 2.0x (8th pct); PeakRatio36M 100%; Multiple3M -17.3%; Earnings-Price Gap +11.8%; CycleHeat n/a. Not enough 3M history to classify reliably.</x:v>
      </x:c>
    </x:row>
    <x:row r="11">
      <x:c r="A11" s="32" t="n">
        <x:v>43312</x:v>
      </x:c>
      <x:c r="B11" s="33" t="n">
        <x:v>0.1281</x:v>
      </x:c>
      <x:c r="C11" s="40" t="n">
        <x:f>IFERROR((1+B11)/(1+B10)-1,"")</x:f>
        <x:v>0.006962420780147971</x:v>
      </x:c>
      <x:c r="D11" s="40" t="n">
        <x:f>IFERROR((1+B11)/(1+B8)-1,"")</x:f>
        <x:v>0.021274669563642767</x:v>
      </x:c>
      <x:c r="E11" s="40" t="n">
        <x:f>IFERROR((1+B11)/(1+B5)-1,"")</x:f>
        <x:v>0.17412572855953368</x:v>
      </x:c>
      <x:c r="F11" s="36" t="n">
        <x:v>1.9368139987933108</x:v>
      </x:c>
      <x:c r="G11" s="40" t="n">
        <x:f>IFERROR(F11/F8-1,"")</x:f>
        <x:v>-0.12804533060388612</x:v>
      </x:c>
      <x:c r="H11" s="38" t="n">
        <x:v>29911.659375379386</x:v>
      </x:c>
      <x:c r="I11" s="40" t="n">
        <x:f>IFERROR(H11/H10-1,"")</x:f>
        <x:v>0.054493286798666496</x:v>
      </x:c>
      <x:c r="J11" s="40" t="n">
        <x:f>IFERROR(H11/H8-1,"")</x:f>
        <x:v>0.23644635032120376</x:v>
      </x:c>
      <x:c r="K11" s="40" t="n">
        <x:f>IFERROR(H11/H5-1,"")</x:f>
        <x:v>0.30382437590042155</x:v>
      </x:c>
      <x:c r="L11" s="40" t="n">
        <x:f>IFERROR(J11-J10,"")</x:f>
        <x:v>0.06389611619413005</x:v>
      </x:c>
      <x:c r="M11" s="40" t="n">
        <x:f>IFERROR(J11-D11,"")</x:f>
        <x:v>0.215171680757561</x:v>
      </x:c>
      <x:c r="N11" s="42" t="str">
        <x:f>IF(J11&lt;0,IF(D11&lt;0,"Down-cycle","Price up / earnings down"),IF(AND(J11&gt;0,L11&lt;0,M11&lt;-0.15),"Late-cycle warning",IF(AND(J11&gt;0,M11&gt;0),"Earnings-led expansion",IF(AND(J11&gt;0,D11&lt;0),"Potential dislocation",IF(AND(J11&gt;0,M11&lt;0),"Price ahead / rerating","Neutral")))))</x:f>
        <x:v>Earnings-led expansion</x:v>
      </x:c>
      <x:c r="O11" s="40" t="n">
        <x:v>0.18195306352253726</x:v>
      </x:c>
      <x:c r="P11" s="40" t="n">
        <x:v>0.8014705882352942</x:v>
      </x:c>
      <x:c r="Q11" s="40" t="n">
        <x:v>0.7769230769230769</x:v>
      </x:c>
      <x:c r="R11" s="40" t="n">
        <x:v>0.07042253521126761</x:v>
      </x:c>
      <x:c r="S11" s="40" t="n">
        <x:v>0.9295774647887324</x:v>
      </x:c>
      <x:c r="T11" s="40" t="n">
        <x:v>0.5147058823529411</x:v>
      </x:c>
      <x:c r="U11" s="40" t="n">
        <x:v>1</x:v>
      </x:c>
      <x:c r="V11" s="40" t="n">
        <x:v>0.7636021445414568</x:v>
      </x:c>
      <x:c r="W11" s="64" t="str">
        <x:v>Stage 8 – High-Cycle Expansion</x:v>
      </x:c>
      <x:c r="X11" s="64" t="str">
        <x:v>Rev3M +23.6%; Accel3M +18.2ppt; Stock3M +2.1%; EV/EBITDA 1.9x (7th pct); PeakRatio36M 100%; Multiple3M -12.8%; Earnings-Price Gap +21.5%; CycleHeat 76%. Forward EBITDA is near a 36M high, revisions remain positive, and EV/EBITDA is at a low historical percentile—classic high-profit-cycle conditions.</x:v>
      </x:c>
    </x:row>
    <x:row r="12">
      <x:c r="A12" s="32" t="n">
        <x:v>43343</x:v>
      </x:c>
      <x:c r="B12" s="33" t="n">
        <x:v>0.085</x:v>
      </x:c>
      <x:c r="C12" s="40" t="n">
        <x:f>IFERROR((1+B12)/(1+B11)-1,"")</x:f>
        <x:v>-0.03820583281623957</x:v>
      </x:c>
      <x:c r="D12" s="40" t="n">
        <x:f>IFERROR((1+B12)/(1+B9)-1,"")</x:f>
        <x:v>-0.11131132770906715</x:v>
      </x:c>
      <x:c r="E12" s="40" t="n">
        <x:f>IFERROR((1+B12)/(1+B6)-1,"")</x:f>
        <x:v>0.08078493873891812</x:v>
      </x:c>
      <x:c r="F12" s="36" t="n">
        <x:v>1.827730928654459</x:v>
      </x:c>
      <x:c r="G12" s="40" t="n">
        <x:f>IFERROR(F12/F9-1,"")</x:f>
        <x:v>-0.11415039618254197</x:v>
      </x:c>
      <x:c r="H12" s="38" t="n">
        <x:v>30715.841380582762</x:v>
      </x:c>
      <x:c r="I12" s="40" t="n">
        <x:f>IFERROR(H12/H11-1,"")</x:f>
        <x:v>0.026885235456556078</x:v>
      </x:c>
      <x:c r="J12" s="40" t="n">
        <x:f>IFERROR(H12/H9-1,"")</x:f>
        <x:v>0.23644635032120376</x:v>
      </x:c>
      <x:c r="K12" s="40" t="n">
        <x:f>IFERROR(H12/H6-1,"")</x:f>
        <x:v>0.30382437590042155</x:v>
      </x:c>
      <x:c r="L12" s="40" t="n">
        <x:f>IFERROR(J12-J11,"")</x:f>
        <x:v>0</x:v>
      </x:c>
      <x:c r="M12" s="40" t="n">
        <x:f>IFERROR(J12-D12,"")</x:f>
        <x:v>0.3477576780302709</x:v>
      </x:c>
      <x:c r="N12" s="42" t="str">
        <x:f>IF(J12&lt;0,IF(D12&lt;0,"Down-cycle","Price up / earnings down"),IF(AND(J12&gt;0,L12&lt;0,M12&lt;-0.15),"Late-cycle warning",IF(AND(J12&gt;0,M12&gt;0),"Earnings-led expansion",IF(AND(J12&gt;0,D12&lt;0),"Potential dislocation",IF(AND(J12&gt;0,M12&lt;0),"Price ahead / rerating","Neutral")))))</x:f>
        <x:v>Earnings-led expansion</x:v>
      </x:c>
      <x:c r="O12" s="40" t="n">
        <x:v>0.18195306352253726</x:v>
      </x:c>
      <x:c r="P12" s="40" t="n">
        <x:v>0.8014705882352942</x:v>
      </x:c>
      <x:c r="Q12" s="40" t="n">
        <x:v>0.7769230769230769</x:v>
      </x:c>
      <x:c r="R12" s="40" t="n">
        <x:v>0.056338028169014086</x:v>
      </x:c>
      <x:c r="S12" s="40" t="n">
        <x:v>0.9436619718309859</x:v>
      </x:c>
      <x:c r="T12" s="40" t="n">
        <x:v>0.19117647058823528</x:v>
      </x:c>
      <x:c r="U12" s="40" t="n">
        <x:v>1</x:v>
      </x:c>
      <x:c r="V12" s="40" t="n">
        <x:v>0.7017131635969663</x:v>
      </x:c>
      <x:c r="W12" s="64" t="str">
        <x:v>Stage 8 – High-Cycle Expansion</x:v>
      </x:c>
      <x:c r="X12" s="64" t="str">
        <x:v>Rev3M +23.6%; Accel3M +18.2ppt; Stock3M -11.1%; EV/EBITDA 1.8x (6th pct); PeakRatio36M 100%; Multiple3M -11.4%; Earnings-Price Gap +34.8%; CycleHeat 70%. Forward EBITDA is near a 36M high, revisions remain positive, and EV/EBITDA is at a low historical percentile—classic high-profit-cycle conditions.</x:v>
      </x:c>
    </x:row>
    <x:row r="13">
      <x:c r="A13" s="32" t="n">
        <x:v>43373</x:v>
      </x:c>
      <x:c r="B13" s="33" t="n">
        <x:v>-0.0444</x:v>
      </x:c>
      <x:c r="C13" s="40" t="n">
        <x:f>IFERROR((1+B13)/(1+B12)-1,"")</x:f>
        <x:v>-0.11926267281105984</x:v>
      </x:c>
      <x:c r="D13" s="40" t="n">
        <x:f>IFERROR((1+B13)/(1+B10)-1,"")</x:f>
        <x:v>-0.14701419262697502</x:v>
      </x:c>
      <x:c r="E13" s="40" t="n">
        <x:f>IFERROR((1+B13)/(1+B7)-1,"")</x:f>
        <x:v>-0.10078102945327938</x:v>
      </x:c>
      <x:c r="F13" s="36" t="n">
        <x:v>1.818124273797772</x:v>
      </x:c>
      <x:c r="G13" s="40" t="n">
        <x:f>IFERROR(F13/F10-1,"")</x:f>
        <x:v>-0.0711228960867879</x:v>
      </x:c>
      <x:c r="H13" s="38" t="n">
        <x:v>29911.659375379386</x:v>
      </x:c>
      <x:c r="I13" s="40" t="n">
        <x:f>IFERROR(H13/H12-1,"")</x:f>
        <x:v>-0.02618134386225035</x:v>
      </x:c>
      <x:c r="J13" s="40" t="n">
        <x:f>IFERROR(H13/H10-1,"")</x:f>
        <x:v>0.054493286798666496</x:v>
      </x:c>
      <x:c r="K13" s="40" t="n">
        <x:f>IFERROR(H13/H7-1,"")</x:f>
        <x:v>0.23644635032120376</x:v>
      </x:c>
      <x:c r="L13" s="40" t="n">
        <x:f>IFERROR(J13-J12,"")</x:f>
        <x:v>-0.18195306352253726</x:v>
      </x:c>
      <x:c r="M13" s="40" t="n">
        <x:f>IFERROR(J13-D13,"")</x:f>
        <x:v>0.2015074794256415</x:v>
      </x:c>
      <x:c r="N13" s="42" t="str">
        <x:f>IF(J13&lt;0,IF(D13&lt;0,"Down-cycle","Price up / earnings down"),IF(AND(J13&gt;0,L13&lt;0,M13&lt;-0.15),"Late-cycle warning",IF(AND(J13&gt;0,M13&gt;0),"Earnings-led expansion",IF(AND(J13&gt;0,D13&lt;0),"Potential dislocation",IF(AND(J13&gt;0,M13&lt;0),"Price ahead / rerating","Neutral")))))</x:f>
        <x:v>Earnings-led expansion</x:v>
      </x:c>
      <x:c r="O13" s="40" t="n">
        <x:v>-0.11805694732840721</x:v>
      </x:c>
      <x:c r="P13" s="40" t="n">
        <x:v>0.5220588235294118</x:v>
      </x:c>
      <x:c r="Q13" s="40" t="n">
        <x:v>0.3384615384615385</x:v>
      </x:c>
      <x:c r="R13" s="40" t="n">
        <x:v>0.04225352112676056</x:v>
      </x:c>
      <x:c r="S13" s="40" t="n">
        <x:v>0.9577464788732395</x:v>
      </x:c>
      <x:c r="T13" s="40" t="n">
        <x:v>0.10294117647058823</x:v>
      </x:c>
      <x:c r="U13" s="40" t="n">
        <x:v>0.9738186561377496</x:v>
      </x:c>
      <x:c r="V13" s="40" t="n">
        <x:v>0.47947350391944427</x:v>
      </x:c>
      <x:c r="W13" s="64" t="str">
        <x:v>Stage 10 – Price-Led Roll-over</x:v>
      </x:c>
      <x:c r="X13" s="64" t="str">
        <x:v>Rev3M +5.4%; Accel3M -11.8ppt; Stock3M -14.7%; EV/EBITDA 1.8x (4th pct); PeakRatio36M 97%; Multiple3M -7.1%; Earnings-Price Gap +20.2%; CycleHeat 48%. The stock has turned negative before forward EBITDA revisions have turned negative; price may be leading a future earnings slowdown.</x:v>
      </x:c>
    </x:row>
    <x:row r="14">
      <x:c r="A14" s="32" t="n">
        <x:v>43404</x:v>
      </x:c>
      <x:c r="B14" s="33" t="n">
        <x:v>-0.1085</x:v>
      </x:c>
      <x:c r="C14" s="40" t="n">
        <x:f>IFERROR((1+B14)/(1+B13)-1,"")</x:f>
        <x:v>-0.06707827542904987</x:v>
      </x:c>
      <x:c r="D14" s="40" t="n">
        <x:f>IFERROR((1+B14)/(1+B11)-1,"")</x:f>
        <x:v>-0.20973317968265215</x:v>
      </x:c>
      <x:c r="E14" s="40" t="n">
        <x:f>IFERROR((1+B14)/(1+B8)-1,"")</x:f>
        <x:v>-0.19292051421328993</x:v>
      </x:c>
      <x:c r="F14" s="36" t="n">
        <x:v>1.7522767320004</x:v>
      </x:c>
      <x:c r="G14" s="40" t="n">
        <x:f>IFERROR(F14/F11-1,"")</x:f>
        <x:v>-0.09527877581837119</x:v>
      </x:c>
      <x:c r="H14" s="38" t="n">
        <x:v>28365.907824968825</x:v>
      </x:c>
      <x:c r="I14" s="40" t="n">
        <x:f>IFERROR(H14/H13-1,"")</x:f>
        <x:v>-0.05167722495806726</x:v>
      </x:c>
      <x:c r="J14" s="40" t="n">
        <x:f>IFERROR(H14/H11-1,"")</x:f>
        <x:v>-0.05167722495806726</x:v>
      </x:c>
      <x:c r="K14" s="40" t="n">
        <x:f>IFERROR(H14/H8-1,"")</x:f>
        <x:v>0.1725502341270737</x:v>
      </x:c>
      <x:c r="L14" s="40" t="n">
        <x:f>IFERROR(J14-J13,"")</x:f>
        <x:v>-0.10617051175673375</x:v>
      </x:c>
      <x:c r="M14" s="40" t="n">
        <x:f>IFERROR(J14-D14,"")</x:f>
        <x:v>0.1580559547245849</x:v>
      </x:c>
      <x:c r="N14" s="42" t="str">
        <x:f>IF(J14&lt;0,IF(D14&lt;0,"Down-cycle","Price up / earnings down"),IF(AND(J14&gt;0,L14&lt;0,M14&lt;-0.15),"Late-cycle warning",IF(AND(J14&gt;0,M14&gt;0),"Earnings-led expansion",IF(AND(J14&gt;0,D14&lt;0),"Potential dislocation",IF(AND(J14&gt;0,M14&lt;0),"Price ahead / rerating","Neutral")))))</x:f>
        <x:v>Down-cycle</x:v>
      </x:c>
      <x:c r="O14" s="40" t="n">
        <x:v>-0.288123575279271</x:v>
      </x:c>
      <x:c r="P14" s="40" t="n">
        <x:v>0.3602941176470588</x:v>
      </x:c>
      <x:c r="Q14" s="40" t="n">
        <x:v>0.07692307692307693</x:v>
      </x:c>
      <x:c r="R14" s="40" t="n">
        <x:v>0</x:v>
      </x:c>
      <x:c r="S14" s="40" t="n">
        <x:v>1</x:v>
      </x:c>
      <x:c r="T14" s="40" t="n">
        <x:v>0.014705882352941176</x:v>
      </x:c>
      <x:c r="U14" s="40" t="n">
        <x:v>0.9234944103761564</x:v>
      </x:c>
      <x:c r="V14" s="40" t="n">
        <x:v>0.34827488687782804</x:v>
      </x:c>
      <x:c r="W14" s="64" t="str">
        <x:v>Stage 11 – Earnings Peak / Roll-over</x:v>
      </x:c>
      <x:c r="X14" s="64" t="str">
        <x:v>Rev3M -5.2%; Accel3M -28.8ppt; Stock3M -21.0%; EV/EBITDA 1.8x (0th pct); PeakRatio36M 92%; Multiple3M -9.5%; Earnings-Price Gap +15.8%; CycleHeat 35%. Forward EBITDA revisions have stalled/turned negative, acceleration is negative, stock performance is negative, and earnings are still near peak.</x:v>
      </x:c>
    </x:row>
    <x:row r="15">
      <x:c r="A15" s="32" t="n">
        <x:v>43434</x:v>
      </x:c>
      <x:c r="B15" s="33" t="n">
        <x:v>-0.0902</x:v>
      </x:c>
      <x:c r="C15" s="40" t="n">
        <x:f>IFERROR((1+B15)/(1+B14)-1,"")</x:f>
        <x:v>0.02052720134604602</x:v>
      </x:c>
      <x:c r="D15" s="40" t="n">
        <x:f>IFERROR((1+B15)/(1+B12)-1,"")</x:f>
        <x:v>-0.16147465437788022</x:v>
      </x:c>
      <x:c r="E15" s="40" t="n">
        <x:f>IFERROR((1+B15)/(1+B9)-1,"")</x:f>
        <x:v>-0.2548120239167828</x:v>
      </x:c>
      <x:c r="F15" s="36" t="n">
        <x:v>1.7801999384854976</x:v>
      </x:c>
      <x:c r="G15" s="40" t="n">
        <x:f>IFERROR(F15/F12-1,"")</x:f>
        <x:v>-0.02600546361818845</x:v>
      </x:c>
      <x:c r="H15" s="38" t="n">
        <x:v>28365.907824968825</x:v>
      </x:c>
      <x:c r="I15" s="40" t="n">
        <x:f>IFERROR(H15/H14-1,"")</x:f>
        <x:v>0</x:v>
      </x:c>
      <x:c r="J15" s="40" t="n">
        <x:f>IFERROR(H15/H12-1,"")</x:f>
        <x:v>-0.07650558962384357</x:v>
      </x:c>
      <x:c r="K15" s="40" t="n">
        <x:f>IFERROR(H15/H9-1,"")</x:f>
        <x:v>0.1418512932516307</x:v>
      </x:c>
      <x:c r="L15" s="40" t="n">
        <x:f>IFERROR(J15-J14,"")</x:f>
        <x:v>-0.024828364665776315</x:v>
      </x:c>
      <x:c r="M15" s="40" t="n">
        <x:f>IFERROR(J15-D15,"")</x:f>
        <x:v>0.08496906475403665</x:v>
      </x:c>
      <x:c r="N15" s="42" t="str">
        <x:f>IF(J15&lt;0,IF(D15&lt;0,"Down-cycle","Price up / earnings down"),IF(AND(J15&gt;0,L15&lt;0,M15&lt;-0.15),"Late-cycle warning",IF(AND(J15&gt;0,M15&gt;0),"Earnings-led expansion",IF(AND(J15&gt;0,D15&lt;0),"Potential dislocation",IF(AND(J15&gt;0,M15&lt;0),"Price ahead / rerating","Neutral")))))</x:f>
        <x:v>Down-cycle</x:v>
      </x:c>
      <x:c r="O15" s="40" t="n">
        <x:v>-0.31295193994504733</x:v>
      </x:c>
      <x:c r="P15" s="40" t="n">
        <x:v>0.3382352941176471</x:v>
      </x:c>
      <x:c r="Q15" s="40" t="n">
        <x:v>0.046153846153846156</x:v>
      </x:c>
      <x:c r="R15" s="40" t="n">
        <x:v>0.014084507042253521</x:v>
      </x:c>
      <x:c r="S15" s="40" t="n">
        <x:v>0.9859154929577465</x:v>
      </x:c>
      <x:c r="T15" s="40" t="n">
        <x:v>0.058823529411764705</x:v>
      </x:c>
      <x:c r="U15" s="40" t="n">
        <x:v>0.9234944103761564</x:v>
      </x:c>
      <x:c r="V15" s="40" t="n">
        <x:v>0.33886861895354026</x:v>
      </x:c>
      <x:c r="W15" s="64" t="str">
        <x:v>Stage 11 – Earnings Peak / Roll-over</x:v>
      </x:c>
      <x:c r="X15" s="64" t="str">
        <x:v>Rev3M -7.7%; Accel3M -31.3ppt; Stock3M -16.1%; EV/EBITDA 1.8x (1th pct); PeakRatio36M 92%; Multiple3M -2.6%; Earnings-Price Gap +8.5%; CycleHeat 34%. Forward EBITDA revisions have stalled/turned negative, acceleration is negative, stock performance is negative, and earnings are still near peak.</x:v>
      </x:c>
    </x:row>
    <x:row r="16">
      <x:c r="A16" s="32" t="n">
        <x:v>43465</x:v>
      </x:c>
      <x:c r="B16" s="33" t="n">
        <x:v>-0.2092</x:v>
      </x:c>
      <x:c r="C16" s="40" t="n">
        <x:f>IFERROR((1+B16)/(1+B15)-1,"")</x:f>
        <x:v>-0.13079797757748957</x:v>
      </x:c>
      <x:c r="D16" s="40" t="n">
        <x:f>IFERROR((1+B16)/(1+B13)-1,"")</x:f>
        <x:v>-0.17245709501883644</x:v>
      </x:c>
      <x:c r="E16" s="40" t="n">
        <x:f>IFERROR((1+B16)/(1+B10)-1,"")</x:f>
        <x:v>-0.2941176470588236</x:v>
      </x:c>
      <x:c r="F16" s="36" t="n">
        <x:v>1.7990621780176983</x:v>
      </x:c>
      <x:c r="G16" s="40" t="n">
        <x:f>IFERROR(F16/F13-1,"")</x:f>
        <x:v>-0.010484484506802172</x:v>
      </x:c>
      <x:c r="H16" s="38" t="n">
        <x:v>25509.91719143501</x:v>
      </x:c>
      <x:c r="I16" s="40" t="n">
        <x:f>IFERROR(H16/H15-1,"")</x:f>
        <x:v>-0.10068391433676782</x:v>
      </x:c>
      <x:c r="J16" s="40" t="n">
        <x:f>IFERROR(H16/H13-1,"")</x:f>
        <x:v>-0.14715807400399517</x:v>
      </x:c>
      <x:c r="K16" s="40" t="n">
        <x:f>IFERROR(H16/H10-1,"")</x:f>
        <x:v>-0.10068391433676782</x:v>
      </x:c>
      <x:c r="L16" s="40" t="n">
        <x:f>IFERROR(J16-J15,"")</x:f>
        <x:v>-0.07065248438015159</x:v>
      </x:c>
      <x:c r="M16" s="40" t="n">
        <x:f>IFERROR(J16-D16,"")</x:f>
        <x:v>0.025299021014841272</x:v>
      </x:c>
      <x:c r="N16" s="42" t="str">
        <x:f>IF(J16&lt;0,IF(D16&lt;0,"Down-cycle","Price up / earnings down"),IF(AND(J16&gt;0,L16&lt;0,M16&lt;-0.15),"Late-cycle warning",IF(AND(J16&gt;0,M16&gt;0),"Earnings-led expansion",IF(AND(J16&gt;0,D16&lt;0),"Potential dislocation",IF(AND(J16&gt;0,M16&lt;0),"Price ahead / rerating","Neutral")))))</x:f>
        <x:v>Down-cycle</x:v>
      </x:c>
      <x:c r="O16" s="40" t="n">
        <x:v>-0.20165136080266166</x:v>
      </x:c>
      <x:c r="P16" s="40" t="n">
        <x:v>0.2647058823529412</x:v>
      </x:c>
      <x:c r="Q16" s="40" t="n">
        <x:v>0.15384615384615385</x:v>
      </x:c>
      <x:c r="R16" s="40" t="n">
        <x:v>0.028169014084507043</x:v>
      </x:c>
      <x:c r="S16" s="40" t="n">
        <x:v>0.971830985915493</x:v>
      </x:c>
      <x:c r="T16" s="40" t="n">
        <x:v>0.04411764705882353</x:v>
      </x:c>
      <x:c r="U16" s="40" t="n">
        <x:v>0.8305133782713596</x:v>
      </x:c>
      <x:c r="V16" s="40" t="n">
        <x:v>0.3342983238799312</x:v>
      </x:c>
      <x:c r="W16" s="64" t="str">
        <x:v>Stage 12 – Downturn Confirmation</x:v>
      </x:c>
      <x:c r="X16" s="64" t="str">
        <x:v>Rev3M -14.7%; Accel3M -20.2ppt; Stock3M -17.2%; EV/EBITDA 1.8x (3th pct); PeakRatio36M 83%; Multiple3M -1.0%; Earnings-Price Gap +2.5%; CycleHeat 33%. Forward EBITDA, revision momentum, and stock performance are all negative while earnings are still relatively elevated—downcycle is being confirmed.</x:v>
      </x:c>
    </x:row>
    <x:row r="17">
      <x:c r="A17" s="32" t="n">
        <x:v>43496</x:v>
      </x:c>
      <x:c r="B17" s="33" t="n">
        <x:v>-0.034</x:v>
      </x:c>
      <x:c r="C17" s="40" t="n">
        <x:f>IFERROR((1+B17)/(1+B16)-1,"")</x:f>
        <x:v>0.22154779969650984</x:v>
      </x:c>
      <x:c r="D17" s="40" t="n">
        <x:f>IFERROR((1+B17)/(1+B14)-1,"")</x:f>
        <x:v>0.08356702187324738</x:v>
      </x:c>
      <x:c r="E17" s="40" t="n">
        <x:f>IFERROR((1+B17)/(1+B11)-1,"")</x:f>
        <x:v>-0.1436929350234908</x:v>
      </x:c>
      <x:c r="F17" s="36" t="n">
        <x:v>2.2447676729448234</x:v>
      </x:c>
      <x:c r="G17" s="40" t="n">
        <x:f>IFERROR(F17/F14-1,"")</x:f>
        <x:v>0.2810577415943858</x:v>
      </x:c>
      <x:c r="H17" s="38" t="n">
        <x:v>21186.327506081325</x:v>
      </x:c>
      <x:c r="I17" s="40" t="n">
        <x:f>IFERROR(H17/H16-1,"")</x:f>
        <x:v>-0.16948662172864037</x:v>
      </x:c>
      <x:c r="J17" s="40" t="n">
        <x:f>IFERROR(H17/H14-1,"")</x:f>
        <x:v>-0.2531059595620536</x:v>
      </x:c>
      <x:c r="K17" s="40" t="n">
        <x:f>IFERROR(H17/H11-1,"")</x:f>
        <x:v>-0.2917033709096052</x:v>
      </x:c>
      <x:c r="L17" s="40" t="n">
        <x:f>IFERROR(J17-J16,"")</x:f>
        <x:v>-0.10594788555805845</x:v>
      </x:c>
      <x:c r="M17" s="40" t="n">
        <x:f>IFERROR(J17-D17,"")</x:f>
        <x:v>-0.336672981435301</x:v>
      </x:c>
      <x:c r="N17" s="42" t="str">
        <x:f>IF(J17&lt;0,IF(D17&lt;0,"Down-cycle","Price up / earnings down"),IF(AND(J17&gt;0,L17&lt;0,M17&lt;-0.15),"Late-cycle warning",IF(AND(J17&gt;0,M17&gt;0),"Earnings-led expansion",IF(AND(J17&gt;0,D17&lt;0),"Potential dislocation",IF(AND(J17&gt;0,M17&lt;0),"Price ahead / rerating","Neutral")))))</x:f>
        <x:v>Price up / earnings down</x:v>
      </x:c>
      <x:c r="O17" s="40" t="n">
        <x:v>-0.20142873460398636</x:v>
      </x:c>
      <x:c r="P17" s="40" t="n">
        <x:v>0.19117647058823528</x:v>
      </x:c>
      <x:c r="Q17" s="40" t="n">
        <x:v>0.16923076923076924</x:v>
      </x:c>
      <x:c r="R17" s="40" t="n">
        <x:v>0.15492957746478872</x:v>
      </x:c>
      <x:c r="S17" s="40" t="n">
        <x:v>0.8450704225352113</x:v>
      </x:c>
      <x:c r="T17" s="40" t="n">
        <x:v>0.6764705882352942</x:v>
      </x:c>
      <x:c r="U17" s="40" t="n">
        <x:v>0.6897524714877065</x:v>
      </x:c>
      <x:c r="V17" s="40" t="n">
        <x:v>0.41352765916767575</x:v>
      </x:c>
      <x:c r="W17" s="64" t="str">
        <x:v>Stage 13 – Mixed / Transition</x:v>
      </x:c>
      <x:c r="X17" s="64" t="str">
        <x:v>Rev3M -25.3%; Accel3M -20.1ppt; Stock3M +8.4%; EV/EBITDA 2.2x (15th pct); PeakRatio36M 69%; Multiple3M +28.1%; Earnings-Price Gap -33.7%; CycleHeat 41%. Signals do not fit one dominant state; treat as a transition and require confirmation from the next 1–3 monthly observations.</x:v>
      </x:c>
    </x:row>
    <x:row r="18">
      <x:c r="A18" s="32" t="n">
        <x:v>43524</x:v>
      </x:c>
      <x:c r="B18" s="33" t="n">
        <x:v>-0.085</x:v>
      </x:c>
      <x:c r="C18" s="40" t="n">
        <x:f>IFERROR((1+B18)/(1+B17)-1,"")</x:f>
        <x:v>-0.052795031055900554</x:v>
      </x:c>
      <x:c r="D18" s="40" t="n">
        <x:f>IFERROR((1+B18)/(1+B15)-1,"")</x:f>
        <x:v>0.005715541877335806</x:v>
      </x:c>
      <x:c r="E18" s="40" t="n">
        <x:f>IFERROR((1+B18)/(1+B12)-1,"")</x:f>
        <x:v>-0.15668202764976957</x:v>
      </x:c>
      <x:c r="F18" s="36" t="n">
        <x:v>2.6016860207730548</x:v>
      </x:c>
      <x:c r="G18" s="40" t="n">
        <x:f>IFERROR(F18/F15-1,"")</x:f>
        <x:v>0.46145720181657524</x:v>
      </x:c>
      <x:c r="H18" s="38" t="n">
        <x:v>18068.588355068532</x:v>
      </x:c>
      <x:c r="I18" s="40" t="n">
        <x:f>IFERROR(H18/H17-1,"")</x:f>
        <x:v>-0.14715807400399505</x:v>
      </x:c>
      <x:c r="J18" s="40" t="n">
        <x:f>IFERROR(H18/H15-1,"")</x:f>
        <x:v>-0.3630174480379639</x:v>
      </x:c>
      <x:c r="K18" s="40" t="n">
        <x:f>IFERROR(H18/H12-1,"")</x:f>
        <x:v>-0.41175017375592005</x:v>
      </x:c>
      <x:c r="L18" s="40" t="n">
        <x:f>IFERROR(J18-J17,"")</x:f>
        <x:v>-0.10991148847591026</x:v>
      </x:c>
      <x:c r="M18" s="40" t="n">
        <x:f>IFERROR(J18-D18,"")</x:f>
        <x:v>-0.3687329899152997</x:v>
      </x:c>
      <x:c r="N18" s="42" t="str">
        <x:f>IF(J18&lt;0,IF(D18&lt;0,"Down-cycle","Price up / earnings down"),IF(AND(J18&gt;0,L18&lt;0,M18&lt;-0.15),"Late-cycle warning",IF(AND(J18&gt;0,M18&gt;0),"Earnings-led expansion",IF(AND(J18&gt;0,D18&lt;0),"Potential dislocation",IF(AND(J18&gt;0,M18&lt;0),"Price ahead / rerating","Neutral")))))</x:f>
        <x:v>Price up / earnings down</x:v>
      </x:c>
      <x:c r="O18" s="40" t="n">
        <x:v>-0.2865118584141203</x:v>
      </x:c>
      <x:c r="P18" s="40" t="n">
        <x:v>0.10294117647058823</x:v>
      </x:c>
      <x:c r="Q18" s="40" t="n">
        <x:v>0.09230769230769231</x:v>
      </x:c>
      <x:c r="R18" s="40" t="n">
        <x:v>0.22535211267605634</x:v>
      </x:c>
      <x:c r="S18" s="40" t="n">
        <x:v>0.7746478873239436</x:v>
      </x:c>
      <x:c r="T18" s="40" t="n">
        <x:v>0.4852941176470588</x:v>
      </x:c>
      <x:c r="U18" s="40" t="n">
        <x:v>0.58824982624408</x:v>
      </x:c>
      <x:c r="V18" s="40" t="n">
        <x:v>0.3110947358358295</x:v>
      </x:c>
      <x:c r="W18" s="64" t="str">
        <x:v>Stage 13 – Mixed / Transition</x:v>
      </x:c>
      <x:c r="X18" s="64" t="str">
        <x:v>Rev3M -36.3%; Accel3M -28.7ppt; Stock3M +0.6%; EV/EBITDA 2.6x (23th pct); PeakRatio36M 59%; Multiple3M +46.1%; Earnings-Price Gap -36.9%; CycleHeat 31%. Signals do not fit one dominant state; treat as a transition and require confirmation from the next 1–3 monthly observations.</x:v>
      </x:c>
    </x:row>
    <x:row r="19">
      <x:c r="A19" s="32" t="n">
        <x:v>43555</x:v>
      </x:c>
      <x:c r="B19" s="33" t="n">
        <x:v>-0.0301</x:v>
      </x:c>
      <x:c r="C19" s="40" t="n">
        <x:f>IFERROR((1+B19)/(1+B18)-1,"")</x:f>
        <x:v>0.05999999999999983</x:v>
      </x:c>
      <x:c r="D19" s="40" t="n">
        <x:f>IFERROR((1+B19)/(1+B16)-1,"")</x:f>
        <x:v>0.22647951441578162</x:v>
      </x:c>
      <x:c r="E19" s="40" t="n">
        <x:f>IFERROR((1+B19)/(1+B13)-1,"")</x:f>
        <x:v>0.014964420259522715</x:v>
      </x:c>
      <x:c r="F19" s="36" t="n">
        <x:v>3.1451975906389458</x:v>
      </x:c>
      <x:c r="G19" s="40" t="n">
        <x:f>IFERROR(F19/F16-1,"")</x:f>
        <x:v>0.7482428506748391</x:v>
      </x:c>
      <x:c r="H19" s="38" t="n">
        <x:v>15206.589109139231</x:v>
      </x:c>
      <x:c r="I19" s="40" t="n">
        <x:f>IFERROR(H19/H18-1,"")</x:f>
        <x:v>-0.15839639432188757</x:v>
      </x:c>
      <x:c r="J19" s="40" t="n">
        <x:f>IFERROR(H19/H16-1,"")</x:f>
        <x:v>-0.4038950030678711</x:v>
      </x:c>
      <x:c r="K19" s="40" t="n">
        <x:f>IFERROR(H19/H13-1,"")</x:f>
        <x:v>-0.49161666632056056</x:v>
      </x:c>
      <x:c r="L19" s="40" t="n">
        <x:f>IFERROR(J19-J18,"")</x:f>
        <x:v>-0.0408775550299072</x:v>
      </x:c>
      <x:c r="M19" s="40" t="n">
        <x:f>IFERROR(J19-D19,"")</x:f>
        <x:v>-0.6303745174836527</x:v>
      </x:c>
      <x:c r="N19" s="42" t="str">
        <x:f>IF(J19&lt;0,IF(D19&lt;0,"Down-cycle","Price up / earnings down"),IF(AND(J19&gt;0,L19&lt;0,M19&lt;-0.15),"Late-cycle warning",IF(AND(J19&gt;0,M19&gt;0),"Earnings-led expansion",IF(AND(J19&gt;0,D19&lt;0),"Potential dislocation",IF(AND(J19&gt;0,M19&lt;0),"Price ahead / rerating","Neutral")))))</x:f>
        <x:v>Price up / earnings down</x:v>
      </x:c>
      <x:c r="O19" s="40" t="n">
        <x:v>-0.2567369290638759</x:v>
      </x:c>
      <x:c r="P19" s="40" t="n">
        <x:v>0.07352941176470588</x:v>
      </x:c>
      <x:c r="Q19" s="40" t="n">
        <x:v>0.1076923076923077</x:v>
      </x:c>
      <x:c r="R19" s="40" t="n">
        <x:v>0.323943661971831</x:v>
      </x:c>
      <x:c r="S19" s="40" t="n">
        <x:v>0.676056338028169</x:v>
      </x:c>
      <x:c r="T19" s="40" t="n">
        <x:v>0.8823529411764706</x:v>
      </x:c>
      <x:c r="U19" s="40" t="n">
        <x:v>0.49507317480654084</x:v>
      </x:c>
      <x:c r="V19" s="40" t="n">
        <x:v>0.3643402268816519</x:v>
      </x:c>
      <x:c r="W19" s="64" t="str">
        <x:v>Stage 13 – Mixed / Transition</x:v>
      </x:c>
      <x:c r="X19" s="64" t="str">
        <x:v>Rev3M -40.4%; Accel3M -25.7ppt; Stock3M +22.6%; EV/EBITDA 3.1x (32th pct); PeakRatio36M 50%; Multiple3M +74.8%; Earnings-Price Gap -63.0%; CycleHeat 36%. Signals do not fit one dominant state; treat as a transition and require confirmation from the next 1–3 monthly observations.</x:v>
      </x:c>
    </x:row>
    <x:row r="20">
      <x:c r="A20" s="32" t="n">
        <x:v>43585</x:v>
      </x:c>
      <x:c r="B20" s="33" t="n">
        <x:v>0.0327</x:v>
      </x:c>
      <x:c r="C20" s="40" t="n">
        <x:f>IFERROR((1+B20)/(1+B19)-1,"")</x:f>
        <x:v>0.06474894319001945</x:v>
      </x:c>
      <x:c r="D20" s="40" t="n">
        <x:f>IFERROR((1+B20)/(1+B17)-1,"")</x:f>
        <x:v>0.06904761904761902</x:v>
      </x:c>
      <x:c r="E20" s="40" t="n">
        <x:f>IFERROR((1+B20)/(1+B14)-1,"")</x:f>
        <x:v>0.1583847448121145</x:v>
      </x:c>
      <x:c r="F20" s="36" t="n">
        <x:v>3.6452844108360307</x:v>
      </x:c>
      <x:c r="G20" s="40" t="n">
        <x:f>IFERROR(F20/F17-1,"")</x:f>
        <x:v>0.6239027560718227</x:v>
      </x:c>
      <x:c r="H20" s="38" t="n">
        <x:v>14230.725357123767</x:v>
      </x:c>
      <x:c r="I20" s="40" t="n">
        <x:f>IFERROR(H20/H19-1,"")</x:f>
        <x:v>-0.06417374369831341</x:v>
      </x:c>
      <x:c r="J20" s="40" t="n">
        <x:f>IFERROR(H20/H17-1,"")</x:f>
        <x:v>-0.32830617514814786</x:v>
      </x:c>
      <x:c r="K20" s="40" t="n">
        <x:f>IFERROR(H20/H14-1,"")</x:f>
        <x:v>-0.4983158852191819</x:v>
      </x:c>
      <x:c r="L20" s="40" t="n">
        <x:f>IFERROR(J20-J19,"")</x:f>
        <x:v>0.07558882791972321</x:v>
      </x:c>
      <x:c r="M20" s="40" t="n">
        <x:f>IFERROR(J20-D20,"")</x:f>
        <x:v>-0.3973537941957669</x:v>
      </x:c>
      <x:c r="N20" s="42" t="str">
        <x:f>IF(J20&lt;0,IF(D20&lt;0,"Down-cycle","Price up / earnings down"),IF(AND(J20&gt;0,L20&lt;0,M20&lt;-0.15),"Late-cycle warning",IF(AND(J20&gt;0,M20&gt;0),"Earnings-led expansion",IF(AND(J20&gt;0,D20&lt;0),"Potential dislocation",IF(AND(J20&gt;0,M20&lt;0),"Price ahead / rerating","Neutral")))))</x:f>
        <x:v>Price up / earnings down</x:v>
      </x:c>
      <x:c r="O20" s="40" t="n">
        <x:v>-0.07520021558609424</x:v>
      </x:c>
      <x:c r="P20" s="40" t="n">
        <x:v>0.1323529411764706</x:v>
      </x:c>
      <x:c r="Q20" s="40" t="n">
        <x:v>0.4307692307692308</x:v>
      </x:c>
      <x:c r="R20" s="40" t="n">
        <x:v>0.4647887323943662</x:v>
      </x:c>
      <x:c r="S20" s="40" t="n">
        <x:v>0.5352112676056338</x:v>
      </x:c>
      <x:c r="T20" s="40" t="n">
        <x:v>0.6176470588235294</x:v>
      </x:c>
      <x:c r="U20" s="40" t="n">
        <x:v>0.4633024757745956</x:v>
      </x:c>
      <x:c r="V20" s="40" t="n">
        <x:v>0.384587502389905</x:v>
      </x:c>
      <x:c r="W20" s="64" t="str">
        <x:v>Stage 13 – Mixed / Transition</x:v>
      </x:c>
      <x:c r="X20" s="64" t="str">
        <x:v>Rev3M -32.8%; Accel3M -7.5ppt; Stock3M +6.9%; EV/EBITDA 3.6x (46th pct); PeakRatio36M 46%; Multiple3M +62.4%; Earnings-Price Gap -39.7%; CycleHeat 38%. Signals do not fit one dominant state; treat as a transition and require confirmation from the next 1–3 monthly observations.</x:v>
      </x:c>
    </x:row>
    <x:row r="21">
      <x:c r="A21" s="32" t="n">
        <x:v>43616</x:v>
      </x:c>
      <x:c r="B21" s="33" t="n">
        <x:v>-0.1464</x:v>
      </x:c>
      <x:c r="C21" s="40" t="n">
        <x:f>IFERROR((1+B21)/(1+B20)-1,"")</x:f>
        <x:v>-0.17342887576256405</x:v>
      </x:c>
      <x:c r="D21" s="40" t="n">
        <x:f>IFERROR((1+B21)/(1+B18)-1,"")</x:f>
        <x:v>-0.06710382513661206</x:v>
      </x:c>
      <x:c r="E21" s="40" t="n">
        <x:f>IFERROR((1+B21)/(1+B15)-1,"")</x:f>
        <x:v>-0.06177181798197395</x:v>
      </x:c>
      <x:c r="F21" s="36" t="n">
        <x:v>3.5318255431310197</x:v>
      </x:c>
      <x:c r="G21" s="40" t="n">
        <x:f>IFERROR(F21/F18-1,"")</x:f>
        <x:v>0.3575141331164884</x:v>
      </x:c>
      <x:c r="H21" s="38" t="n">
        <x:v>13495.320961527212</x:v>
      </x:c>
      <x:c r="I21" s="40" t="n">
        <x:f>IFERROR(H21/H20-1,"")</x:f>
        <x:v>-0.05167722495806715</x:v>
      </x:c>
      <x:c r="J21" s="40" t="n">
        <x:f>IFERROR(H21/H18-1,"")</x:f>
        <x:v>-0.25310595956205095</x:v>
      </x:c>
      <x:c r="K21" s="40" t="n">
        <x:f>IFERROR(H21/H15-1,"")</x:f>
        <x:v>-0.524241528076599</x:v>
      </x:c>
      <x:c r="L21" s="40" t="n">
        <x:f>IFERROR(J21-J20,"")</x:f>
        <x:v>0.07520021558609691</x:v>
      </x:c>
      <x:c r="M21" s="40" t="n">
        <x:f>IFERROR(J21-D21,"")</x:f>
        <x:v>-0.1860021344254389</x:v>
      </x:c>
      <x:c r="N21" s="42" t="str">
        <x:f>IF(J21&lt;0,IF(D21&lt;0,"Down-cycle","Price up / earnings down"),IF(AND(J21&gt;0,L21&lt;0,M21&lt;-0.15),"Late-cycle warning",IF(AND(J21&gt;0,M21&gt;0),"Earnings-led expansion",IF(AND(J21&gt;0,D21&lt;0),"Potential dislocation",IF(AND(J21&gt;0,M21&lt;0),"Price ahead / rerating","Neutral")))))</x:f>
        <x:v>Down-cycle</x:v>
      </x:c>
      <x:c r="O21" s="40" t="n">
        <x:v>0.10991148847591292</x:v>
      </x:c>
      <x:c r="P21" s="40" t="n">
        <x:v>0.20588235294117646</x:v>
      </x:c>
      <x:c r="Q21" s="40" t="n">
        <x:v>0.7230769230769231</x:v>
      </x:c>
      <x:c r="R21" s="40" t="n">
        <x:v>0.4154929577464789</x:v>
      </x:c>
      <x:c r="S21" s="40" t="n">
        <x:v>0.5845070422535211</x:v>
      </x:c>
      <x:c r="T21" s="40" t="n">
        <x:v>0.3382352941176471</x:v>
      </x:c>
      <x:c r="U21" s="40" t="n">
        <x:v>0.4393602895103624</x:v>
      </x:c>
      <x:c r="V21" s="40" t="n">
        <x:v>0.4373765215728762</x:v>
      </x:c>
      <x:c r="W21" s="64" t="str">
        <x:v>Stage 3 – Trough Formation</x:v>
      </x:c>
      <x:c r="X21" s="64" t="str">
        <x:v>Rev3M -25.3%; Accel3M +11.0ppt; Stock3M -6.7%; EV/EBITDA 3.5x (42th pct); PeakRatio36M 44%; Multiple3M +35.8%; Earnings-Price Gap -18.6%; CycleHeat 44%. EBITDA is still being revised down, but the pace of cuts is improving; the stock has not yet clearly turned positive.</x:v>
      </x:c>
    </x:row>
    <x:row r="22">
      <x:c r="A22" s="32" t="n">
        <x:v>43646</x:v>
      </x:c>
      <x:c r="B22" s="33" t="n">
        <x:v>-0.0915</x:v>
      </x:c>
      <x:c r="C22" s="40" t="n">
        <x:f>IFERROR((1+B22)/(1+B21)-1,"")</x:f>
        <x:v>0.06431583880037484</x:v>
      </x:c>
      <x:c r="D22" s="40" t="n">
        <x:f>IFERROR((1+B22)/(1+B19)-1,"")</x:f>
        <x:v>-0.06330549541189812</x:v>
      </x:c>
      <x:c r="E22" s="40" t="n">
        <x:f>IFERROR((1+B22)/(1+B16)-1,"")</x:f>
        <x:v>0.14883662114314622</x:v>
      </x:c>
      <x:c r="F22" s="36" t="n">
        <x:v>3.7623881116461058</x:v>
      </x:c>
      <x:c r="G22" s="40" t="n">
        <x:f>IFERROR(F22/F19-1,"")</x:f>
        <x:v>0.1962326700376804</x:v>
      </x:c>
      <x:c r="H22" s="38" t="n">
        <x:v>11509.375520763122</x:v>
      </x:c>
      <x:c r="I22" s="40" t="n">
        <x:f>IFERROR(H22/H21-1,"")</x:f>
        <x:v>-0.14715807400399528</x:v>
      </x:c>
      <x:c r="J22" s="40" t="n">
        <x:f>IFERROR(H22/H19-1,"")</x:f>
        <x:v>-0.24313233966150016</x:v>
      </x:c>
      <x:c r="K22" s="40" t="n">
        <x:f>IFERROR(H22/H16-1,"")</x:f>
        <x:v>-0.5488274056558909</x:v>
      </x:c>
      <x:c r="L22" s="40" t="n">
        <x:f>IFERROR(J22-J21,"")</x:f>
        <x:v>0.00997361990055079</x:v>
      </x:c>
      <x:c r="M22" s="40" t="n">
        <x:f>IFERROR(J22-D22,"")</x:f>
        <x:v>-0.17982684424960205</x:v>
      </x:c>
      <x:c r="N22" s="42" t="str">
        <x:f>IF(J22&lt;0,IF(D22&lt;0,"Down-cycle","Price up / earnings down"),IF(AND(J22&gt;0,L22&lt;0,M22&lt;-0.15),"Late-cycle warning",IF(AND(J22&gt;0,M22&gt;0),"Earnings-led expansion",IF(AND(J22&gt;0,D22&lt;0),"Potential dislocation",IF(AND(J22&gt;0,M22&lt;0),"Price ahead / rerating","Neutral")))))</x:f>
        <x:v>Down-cycle</x:v>
      </x:c>
      <x:c r="O22" s="40" t="n">
        <x:v>0.1607626634063709</x:v>
      </x:c>
      <x:c r="P22" s="40" t="n">
        <x:v>0.22058823529411764</x:v>
      </x:c>
      <x:c r="Q22" s="40" t="n">
        <x:v>0.7384615384615385</x:v>
      </x:c>
      <x:c r="R22" s="40" t="n">
        <x:v>0.4788732394366197</x:v>
      </x:c>
      <x:c r="S22" s="40" t="n">
        <x:v>0.5211267605633803</x:v>
      </x:c>
      <x:c r="T22" s="40" t="n">
        <x:v>0.36764705882352944</x:v>
      </x:c>
      <x:c r="U22" s="40" t="n">
        <x:v>0.37470487551217974</x:v>
      </x:c>
      <x:c r="V22" s="40" t="n">
        <x:v>0.4395760308457078</x:v>
      </x:c>
      <x:c r="W22" s="64" t="str">
        <x:v>Stage 3 – Trough Formation</x:v>
      </x:c>
      <x:c r="X22" s="64" t="str">
        <x:v>Rev3M -24.3%; Accel3M +16.1ppt; Stock3M -6.3%; EV/EBITDA 3.8x (48th pct); PeakRatio36M 37%; Multiple3M +19.6%; Earnings-Price Gap -18.0%; CycleHeat 44%. EBITDA is still being revised down, but the pace of cuts is improving; the stock has not yet clearly turned positive.</x:v>
      </x:c>
    </x:row>
    <x:row r="23">
      <x:c r="A23" s="32" t="n">
        <x:v>43677</x:v>
      </x:c>
      <x:c r="B23" s="33" t="n">
        <x:v>0.0052</x:v>
      </x:c>
      <x:c r="C23" s="40" t="n">
        <x:f>IFERROR((1+B23)/(1+B22)-1,"")</x:f>
        <x:v>0.10643918547055597</x:v>
      </x:c>
      <x:c r="D23" s="40" t="n">
        <x:f>IFERROR((1+B23)/(1+B20)-1,"")</x:f>
        <x:v>-0.02662922436331927</x:v>
      </x:c>
      <x:c r="E23" s="40" t="n">
        <x:f>IFERROR((1+B23)/(1+B17)-1,"")</x:f>
        <x:v>0.04057971014492767</x:v>
      </x:c>
      <x:c r="F23" s="36" t="n">
        <x:v>5.161611875568566</x:v>
      </x:c>
      <x:c r="G23" s="40" t="n">
        <x:f>IFERROR(F23/F20-1,"")</x:f>
        <x:v>0.41596959080204443</x:v>
      </x:c>
      <x:c r="H23" s="38" t="n">
        <x:v>10914.602932849773</x:v>
      </x:c>
      <x:c r="I23" s="40" t="n">
        <x:f>IFERROR(H23/H22-1,"")</x:f>
        <x:v>-0.05167722495806726</x:v>
      </x:c>
      <x:c r="J23" s="40" t="n">
        <x:f>IFERROR(H23/H20-1,"")</x:f>
        <x:v>-0.23302553742378096</x:v>
      </x:c>
      <x:c r="K23" s="40" t="n">
        <x:f>IFERROR(H23/H17-1,"")</x:f>
        <x:v>-0.4848279896684857</x:v>
      </x:c>
      <x:c r="L23" s="40" t="n">
        <x:f>IFERROR(J23-J22,"")</x:f>
        <x:v>0.010106802237719203</x:v>
      </x:c>
      <x:c r="M23" s="40" t="n">
        <x:f>IFERROR(J23-D23,"")</x:f>
        <x:v>-0.2063963130604617</x:v>
      </x:c>
      <x:c r="N23" s="42" t="str">
        <x:f>IF(J23&lt;0,IF(D23&lt;0,"Down-cycle","Price up / earnings down"),IF(AND(J23&gt;0,L23&lt;0,M23&lt;-0.15),"Late-cycle warning",IF(AND(J23&gt;0,M23&gt;0),"Earnings-led expansion",IF(AND(J23&gt;0,D23&lt;0),"Potential dislocation",IF(AND(J23&gt;0,M23&lt;0),"Price ahead / rerating","Neutral")))))</x:f>
        <x:v>Down-cycle</x:v>
      </x:c>
      <x:c r="O23" s="40" t="n">
        <x:v>0.0952806377243669</x:v>
      </x:c>
      <x:c r="P23" s="40" t="n">
        <x:v>0.23529411764705882</x:v>
      </x:c>
      <x:c r="Q23" s="40" t="n">
        <x:v>0.6923076923076923</x:v>
      </x:c>
      <x:c r="R23" s="40" t="n">
        <x:v>0.7535211267605634</x:v>
      </x:c>
      <x:c r="S23" s="40" t="n">
        <x:v>0.24647887323943662</x:v>
      </x:c>
      <x:c r="T23" s="40" t="n">
        <x:v>0.4264705882352941</x:v>
      </x:c>
      <x:c r="U23" s="40" t="n">
        <x:v>0.3553411673674522</x:v>
      </x:c>
      <x:c r="V23" s="40" t="n">
        <x:v>0.39001975654833976</x:v>
      </x:c>
      <x:c r="W23" s="64" t="str">
        <x:v>Stage 3 – Trough Formation</x:v>
      </x:c>
      <x:c r="X23" s="64" t="str">
        <x:v>Rev3M -23.3%; Accel3M +9.5ppt; Stock3M -2.7%; EV/EBITDA 5.2x (75th pct); PeakRatio36M 36%; Multiple3M +41.6%; Earnings-Price Gap -20.6%; CycleHeat 39%. EBITDA is still being revised down, but the pace of cuts is improving; the stock has not yet clearly turned positive.</x:v>
      </x:c>
    </x:row>
    <x:row r="24">
      <x:c r="A24" s="32" t="n">
        <x:v>43708</x:v>
      </x:c>
      <x:c r="B24" s="33" t="n">
        <x:v>0.0118</x:v>
      </x:c>
      <x:c r="C24" s="40" t="n">
        <x:f>IFERROR((1+B24)/(1+B23)-1,"")</x:f>
        <x:v>0.006565857540787867</x:v>
      </x:c>
      <x:c r="D24" s="40" t="n">
        <x:f>IFERROR((1+B24)/(1+B21)-1,"")</x:f>
        <x:v>0.18533270852858474</x:v>
      </x:c>
      <x:c r="E24" s="40" t="n">
        <x:f>IFERROR((1+B24)/(1+B18)-1,"")</x:f>
        <x:v>0.10579234972677587</x:v>
      </x:c>
      <x:c r="F24" s="36" t="n">
        <x:v>5.161611875568566</x:v>
      </x:c>
      <x:c r="G24" s="40" t="n">
        <x:f>IFERROR(F24/F21-1,"")</x:f>
        <x:v>0.46145720181657524</x:v>
      </x:c>
      <x:c r="H24" s="38" t="n">
        <x:v>11208.044602614256</x:v>
      </x:c>
      <x:c r="I24" s="40" t="n">
        <x:f>IFERROR(H24/H23-1,"")</x:f>
        <x:v>0.026885235456556078</x:v>
      </x:c>
      <x:c r="J24" s="40" t="n">
        <x:f>IFERROR(H24/H21-1,"")</x:f>
        <x:v>-0.16948662172864049</x:v>
      </x:c>
      <x:c r="K24" s="40" t="n">
        <x:f>IFERROR(H24/H18-1,"")</x:f>
        <x:v>-0.37969450726513354</x:v>
      </x:c>
      <x:c r="L24" s="40" t="n">
        <x:f>IFERROR(J24-J23,"")</x:f>
        <x:v>0.06353891569514047</x:v>
      </x:c>
      <x:c r="M24" s="40" t="n">
        <x:f>IFERROR(J24-D24,"")</x:f>
        <x:v>-0.35481933025722523</x:v>
      </x:c>
      <x:c r="N24" s="42" t="str">
        <x:f>IF(J24&lt;0,IF(D24&lt;0,"Down-cycle","Price up / earnings down"),IF(AND(J24&gt;0,L24&lt;0,M24&lt;-0.15),"Late-cycle warning",IF(AND(J24&gt;0,M24&gt;0),"Earnings-led expansion",IF(AND(J24&gt;0,D24&lt;0),"Potential dislocation",IF(AND(J24&gt;0,M24&lt;0),"Price ahead / rerating","Neutral")))))</x:f>
        <x:v>Price up / earnings down</x:v>
      </x:c>
      <x:c r="O24" s="40" t="n">
        <x:v>0.08361933783341047</x:v>
      </x:c>
      <x:c r="P24" s="40" t="n">
        <x:v>0.25</x:v>
      </x:c>
      <x:c r="Q24" s="40" t="n">
        <x:v>0.676923076923077</x:v>
      </x:c>
      <x:c r="R24" s="40" t="n">
        <x:v>0.7535211267605634</x:v>
      </x:c>
      <x:c r="S24" s="40" t="n">
        <x:v>0.24647887323943662</x:v>
      </x:c>
      <x:c r="T24" s="40" t="n">
        <x:v>0.8382352941176471</x:v>
      </x:c>
      <x:c r="U24" s="40" t="n">
        <x:v>0.36489459831953364</x:v>
      </x:c>
      <x:c r="V24" s="40" t="n">
        <x:v>0.47367360270218595</x:v>
      </x:c>
      <x:c r="W24" s="64" t="str">
        <x:v>Stage 4 – Price-Led Bottom</x:v>
      </x:c>
      <x:c r="X24" s="64" t="str">
        <x:v>Rev3M -16.9%; Accel3M +8.4ppt; Stock3M +18.5%; EV/EBITDA 5.2x (75th pct); PeakRatio36M 36%; Multiple3M +46.1%; Earnings-Price Gap -35.5%; CycleHeat 47%. EBITDA is still being revised down but improving, while the stock has already turned up—typical price leadership near a bottom.</x:v>
      </x:c>
    </x:row>
    <x:row r="25">
      <x:c r="A25" s="32" t="n">
        <x:v>43738</x:v>
      </x:c>
      <x:c r="B25" s="33" t="n">
        <x:v>0.0745</x:v>
      </x:c>
      <x:c r="C25" s="40" t="n">
        <x:f>IFERROR((1+B25)/(1+B24)-1,"")</x:f>
        <x:v>0.061968768531330376</x:v>
      </x:c>
      <x:c r="D25" s="40" t="n">
        <x:f>IFERROR((1+B25)/(1+B22)-1,"")</x:f>
        <x:v>0.1827187671986792</x:v>
      </x:c>
      <x:c r="E25" s="40" t="n">
        <x:f>IFERROR((1+B25)/(1+B19)-1,"")</x:f>
        <x:v>0.10784616970821737</x:v>
      </x:c>
      <x:c r="F25" s="36" t="n">
        <x:v>5.440919538188474</x:v>
      </x:c>
      <x:c r="G25" s="40" t="n">
        <x:f>IFERROR(F25/F22-1,"")</x:f>
        <x:v>0.4461345764267748</x:v>
      </x:c>
      <x:c r="H25" s="38" t="n">
        <x:v>11208.044602614256</x:v>
      </x:c>
      <x:c r="I25" s="40" t="n">
        <x:f>IFERROR(H25/H24-1,"")</x:f>
        <x:v>0</x:v>
      </x:c>
      <x:c r="J25" s="40" t="n">
        <x:f>IFERROR(H25/H22-1,"")</x:f>
        <x:v>-0.02618134386225035</x:v>
      </x:c>
      <x:c r="K25" s="40" t="n">
        <x:f>IFERROR(H25/H19-1,"")</x:f>
        <x:v>-0.2629481521350393</x:v>
      </x:c>
      <x:c r="L25" s="40" t="n">
        <x:f>IFERROR(J25-J24,"")</x:f>
        <x:v>0.14330527786639013</x:v>
      </x:c>
      <x:c r="M25" s="40" t="n">
        <x:f>IFERROR(J25-D25,"")</x:f>
        <x:v>-0.20890011106092954</x:v>
      </x:c>
      <x:c r="N25" s="42" t="str">
        <x:f>IF(J25&lt;0,IF(D25&lt;0,"Down-cycle","Price up / earnings down"),IF(AND(J25&gt;0,L25&lt;0,M25&lt;-0.15),"Late-cycle warning",IF(AND(J25&gt;0,M25&gt;0),"Earnings-led expansion",IF(AND(J25&gt;0,D25&lt;0),"Potential dislocation",IF(AND(J25&gt;0,M25&lt;0),"Price ahead / rerating","Neutral")))))</x:f>
        <x:v>Price up / earnings down</x:v>
      </x:c>
      <x:c r="O25" s="40" t="n">
        <x:v>0.2169509957992498</x:v>
      </x:c>
      <x:c r="P25" s="40" t="n">
        <x:v>0.40441176470588236</x:v>
      </x:c>
      <x:c r="Q25" s="40" t="n">
        <x:v>0.8153846153846154</x:v>
      </x:c>
      <x:c r="R25" s="40" t="n">
        <x:v>0.7887323943661971</x:v>
      </x:c>
      <x:c r="S25" s="40" t="n">
        <x:v>0.21126760563380287</x:v>
      </x:c>
      <x:c r="T25" s="40" t="n">
        <x:v>0.8235294117647058</x:v>
      </x:c>
      <x:c r="U25" s="40" t="n">
        <x:v>0.36489459831953364</x:v>
      </x:c>
      <x:c r="V25" s="40" t="n">
        <x:v>0.5523496749729144</x:v>
      </x:c>
      <x:c r="W25" s="64" t="str">
        <x:v>Stage 4 – Price-Led Bottom</x:v>
      </x:c>
      <x:c r="X25" s="64" t="str">
        <x:v>Rev3M -2.6%; Accel3M +21.7ppt; Stock3M +18.3%; EV/EBITDA 5.4x (79th pct); PeakRatio36M 36%; Multiple3M +44.6%; Earnings-Price Gap -20.9%; CycleHeat 55%. EBITDA is still being revised down but improving, while the stock has already turned up—typical price leadership near a bottom.</x:v>
      </x:c>
    </x:row>
    <x:row r="26">
      <x:c r="A26" s="32" t="n">
        <x:v>43769</x:v>
      </x:c>
      <x:c r="B26" s="33" t="n">
        <x:v>0.0719</x:v>
      </x:c>
      <x:c r="C26" s="40" t="n">
        <x:f>IFERROR((1+B26)/(1+B25)-1,"")</x:f>
        <x:v>-0.002419730107026452</x:v>
      </x:c>
      <x:c r="D26" s="40" t="n">
        <x:f>IFERROR((1+B26)/(1+B23)-1,"")</x:f>
        <x:v>0.06635495423796267</x:v>
      </x:c>
      <x:c r="E26" s="40" t="n">
        <x:f>IFERROR((1+B26)/(1+B20)-1,"")</x:f>
        <x:v>0.037958748910622786</x:v>
      </x:c>
      <x:c r="F26" s="36" t="n">
        <x:v>4.744235197131988</x:v>
      </x:c>
      <x:c r="G26" s="40" t="n">
        <x:f>IFERROR(F26/F23-1,"")</x:f>
        <x:v>-0.0808616936914891</x:v>
      </x:c>
      <x:c r="H26" s="38" t="n">
        <x:v>13141.995322902032</x:v>
      </x:c>
      <x:c r="I26" s="40" t="n">
        <x:f>IFERROR(H26/H25-1,"")</x:f>
        <x:v>0.1725502341270737</x:v>
      </x:c>
      <x:c r="J26" s="40" t="n">
        <x:f>IFERROR(H26/H23-1,"")</x:f>
        <x:v>0.20407452325622</x:v>
      </x:c>
      <x:c r="K26" s="40" t="n">
        <x:f>IFERROR(H26/H20-1,"")</x:f>
        <x:v>-0.07650558962384357</x:v>
      </x:c>
      <x:c r="L26" s="40" t="n">
        <x:f>IFERROR(J26-J25,"")</x:f>
        <x:v>0.23025586711847035</x:v>
      </x:c>
      <x:c r="M26" s="40" t="n">
        <x:f>IFERROR(J26-D26,"")</x:f>
        <x:v>0.13771956901825733</x:v>
      </x:c>
      <x:c r="N26" s="42" t="str">
        <x:f>IF(J26&lt;0,IF(D26&lt;0,"Down-cycle","Price up / earnings down"),IF(AND(J26&gt;0,L26&lt;0,M26&lt;-0.15),"Late-cycle warning",IF(AND(J26&gt;0,M26&gt;0),"Earnings-led expansion",IF(AND(J26&gt;0,D26&lt;0),"Potential dislocation",IF(AND(J26&gt;0,M26&lt;0),"Price ahead / rerating","Neutral")))))</x:f>
        <x:v>Earnings-led expansion</x:v>
      </x:c>
      <x:c r="O26" s="40" t="n">
        <x:v>0.43710006068000096</x:v>
      </x:c>
      <x:c r="P26" s="40" t="n">
        <x:v>0.7426470588235294</x:v>
      </x:c>
      <x:c r="Q26" s="40" t="n">
        <x:v>0.9384615384615385</x:v>
      </x:c>
      <x:c r="R26" s="40" t="n">
        <x:v>0.6619718309859155</x:v>
      </x:c>
      <x:c r="S26" s="40" t="n">
        <x:v>0.3380281690140845</x:v>
      </x:c>
      <x:c r="T26" s="40" t="n">
        <x:v>0.6029411764705882</x:v>
      </x:c>
      <x:c r="U26" s="40" t="n">
        <x:v>0.42785724669127373</x:v>
      </x:c>
      <x:c r="V26" s="40" t="n">
        <x:v>0.6827357243005545</x:v>
      </x:c>
      <x:c r="W26" s="64" t="str">
        <x:v>Stage 5 – Early Recovery</x:v>
      </x:c>
      <x:c r="X26" s="64" t="str">
        <x:v>Rev3M +20.4%; Accel3M +43.7ppt; Stock3M +6.6%; EV/EBITDA 4.7x (66th pct); PeakRatio36M 43%; Multiple3M -8.1%; Earnings-Price Gap +13.8%; CycleHeat 68%. Forward EBITDA revisions have turned positive and are accelerating, but EBITDA remains well below its recent peak.</x:v>
      </x:c>
    </x:row>
    <x:row r="27">
      <x:c r="A27" s="32" t="n">
        <x:v>43799</x:v>
      </x:c>
      <x:c r="B27" s="33" t="n">
        <x:v>0.0575</x:v>
      </x:c>
      <x:c r="C27" s="40" t="n">
        <x:f>IFERROR((1+B27)/(1+B26)-1,"")</x:f>
        <x:v>-0.013434089000839644</x:v>
      </x:c>
      <x:c r="D27" s="40" t="n">
        <x:f>IFERROR((1+B27)/(1+B24)-1,"")</x:f>
        <x:v>0.045167029057125996</x:v>
      </x:c>
      <x:c r="E27" s="40" t="n">
        <x:f>IFERROR((1+B27)/(1+B21)-1,"")</x:f>
        <x:v>0.23887066541705715</x:v>
      </x:c>
      <x:c r="F27" s="36" t="n">
        <x:v>4.819836417306926</x:v>
      </x:c>
      <x:c r="G27" s="40" t="n">
        <x:f>IFERROR(F27/F24-1,"")</x:f>
        <x:v>-0.06621486979278002</x:v>
      </x:c>
      <x:c r="H27" s="38" t="n">
        <x:v>13141.995322902032</x:v>
      </x:c>
      <x:c r="I27" s="40" t="n">
        <x:f>IFERROR(H27/H26-1,"")</x:f>
        <x:v>0</x:v>
      </x:c>
      <x:c r="J27" s="40" t="n">
        <x:f>IFERROR(H27/H24-1,"")</x:f>
        <x:v>0.1725502341270737</x:v>
      </x:c>
      <x:c r="K27" s="40" t="n">
        <x:f>IFERROR(H27/H21-1,"")</x:f>
        <x:v>-0.02618134386225035</x:v>
      </x:c>
      <x:c r="L27" s="40" t="n">
        <x:f>IFERROR(J27-J26,"")</x:f>
        <x:v>-0.03152428912914629</x:v>
      </x:c>
      <x:c r="M27" s="40" t="n">
        <x:f>IFERROR(J27-D27,"")</x:f>
        <x:v>0.1273832050699477</x:v>
      </x:c>
      <x:c r="N27" s="42" t="str">
        <x:f>IF(J27&lt;0,IF(D27&lt;0,"Down-cycle","Price up / earnings down"),IF(AND(J27&gt;0,L27&lt;0,M27&lt;-0.15),"Late-cycle warning",IF(AND(J27&gt;0,M27&gt;0),"Earnings-led expansion",IF(AND(J27&gt;0,D27&lt;0),"Potential dislocation",IF(AND(J27&gt;0,M27&lt;0),"Price ahead / rerating","Neutral")))))</x:f>
        <x:v>Earnings-led expansion</x:v>
      </x:c>
      <x:c r="O27" s="40" t="n">
        <x:v>0.3420368558557142</x:v>
      </x:c>
      <x:c r="P27" s="40" t="n">
        <x:v>0.6838235294117647</x:v>
      </x:c>
      <x:c r="Q27" s="40" t="n">
        <x:v>0.9076923076923077</x:v>
      </x:c>
      <x:c r="R27" s="40" t="n">
        <x:v>0.6901408450704225</x:v>
      </x:c>
      <x:c r="S27" s="40" t="n">
        <x:v>0.3098591549295775</x:v>
      </x:c>
      <x:c r="T27" s="40" t="n">
        <x:v>0.5588235294117647</x:v>
      </x:c>
      <x:c r="U27" s="40" t="n">
        <x:v>0.42785724669127373</x:v>
      </x:c>
      <x:c r="V27" s="40" t="n">
        <x:v>0.6399978490854631</x:v>
      </x:c>
      <x:c r="W27" s="64" t="str">
        <x:v>Stage 5 – Early Recovery</x:v>
      </x:c>
      <x:c r="X27" s="64" t="str">
        <x:v>Rev3M +17.3%; Accel3M +34.2ppt; Stock3M +4.5%; EV/EBITDA 4.8x (69th pct); PeakRatio36M 43%; Multiple3M -6.6%; Earnings-Price Gap +12.7%; CycleHeat 64%. Forward EBITDA revisions have turned positive and are accelerating, but EBITDA remains well below its recent peak.</x:v>
      </x:c>
    </x:row>
    <x:row r="28">
      <x:c r="A28" s="32" t="n">
        <x:v>43830</x:v>
      </x:c>
      <x:c r="B28" s="33" t="n">
        <x:v>0.2301</x:v>
      </x:c>
      <x:c r="C28" s="40" t="n">
        <x:f>IFERROR((1+B28)/(1+B27)-1,"")</x:f>
        <x:v>0.1632151300236404</x:v>
      </x:c>
      <x:c r="D28" s="40" t="n">
        <x:f>IFERROR((1+B28)/(1+B25)-1,"")</x:f>
        <x:v>0.14481154025127974</x:v>
      </x:c>
      <x:c r="E28" s="40" t="n">
        <x:f>IFERROR((1+B28)/(1+B22)-1,"")</x:f>
        <x:v>0.35399009356081446</x:v>
      </x:c>
      <x:c r="F28" s="36" t="n">
        <x:v>5.271571827419493</x:v>
      </x:c>
      <x:c r="G28" s="40" t="n">
        <x:f>IFERROR(F28/F25-1,"")</x:f>
        <x:v>-0.031124832775116684</x:v>
      </x:c>
      <x:c r="H28" s="38" t="n">
        <x:v>13495.320961527212</x:v>
      </x:c>
      <x:c r="I28" s="40" t="n">
        <x:f>IFERROR(H28/H27-1,"")</x:f>
        <x:v>0.026885235456556078</x:v>
      </x:c>
      <x:c r="J28" s="40" t="n">
        <x:f>IFERROR(H28/H25-1,"")</x:f>
        <x:v>0.20407452325622022</x:v>
      </x:c>
      <x:c r="K28" s="40" t="n">
        <x:f>IFERROR(H28/H22-1,"")</x:f>
        <x:v>0.17255023412707393</x:v>
      </x:c>
      <x:c r="L28" s="40" t="n">
        <x:f>IFERROR(J28-J27,"")</x:f>
        <x:v>0.03152428912914651</x:v>
      </x:c>
      <x:c r="M28" s="40" t="n">
        <x:f>IFERROR(J28-D28,"")</x:f>
        <x:v>0.059262983004940484</x:v>
      </x:c>
      <x:c r="N28" s="42" t="str">
        <x:f>IF(J28&lt;0,IF(D28&lt;0,"Down-cycle","Price up / earnings down"),IF(AND(J28&gt;0,L28&lt;0,M28&lt;-0.15),"Late-cycle warning",IF(AND(J28&gt;0,M28&gt;0),"Earnings-led expansion",IF(AND(J28&gt;0,D28&lt;0),"Potential dislocation",IF(AND(J28&gt;0,M28&lt;0),"Price ahead / rerating","Neutral")))))</x:f>
        <x:v>Earnings-led expansion</x:v>
      </x:c>
      <x:c r="O28" s="40" t="n">
        <x:v>0.23025586711847057</x:v>
      </x:c>
      <x:c r="P28" s="40" t="n">
        <x:v>0.7647058823529411</x:v>
      </x:c>
      <x:c r="Q28" s="40" t="n">
        <x:v>0.8307692307692308</x:v>
      </x:c>
      <x:c r="R28" s="40" t="n">
        <x:v>0.7746478873239436</x:v>
      </x:c>
      <x:c r="S28" s="40" t="n">
        <x:v>0.22535211267605637</x:v>
      </x:c>
      <x:c r="T28" s="40" t="n">
        <x:v>0.7647058823529411</x:v>
      </x:c>
      <x:c r="U28" s="40" t="n">
        <x:v>0.4393602895103624</x:v>
      </x:c>
      <x:c r="V28" s="40" t="n">
        <x:v>0.6733509655216366</x:v>
      </x:c>
      <x:c r="W28" s="64" t="str">
        <x:v>Stage 5 – Early Recovery</x:v>
      </x:c>
      <x:c r="X28" s="64" t="str">
        <x:v>Rev3M +20.4%; Accel3M +23.0ppt; Stock3M +14.5%; EV/EBITDA 5.3x (77th pct); PeakRatio36M 44%; Multiple3M -3.1%; Earnings-Price Gap +5.9%; CycleHeat 67%. Forward EBITDA revisions have turned positive and are accelerating, but EBITDA remains well below its recent peak.</x:v>
      </x:c>
    </x:row>
    <x:row r="29">
      <x:c r="A29" s="32" t="n">
        <x:v>43861</x:v>
      </x:c>
      <x:c r="B29" s="33" t="n">
        <x:v>0.2222</x:v>
      </x:c>
      <x:c r="C29" s="40" t="n">
        <x:f>IFERROR((1+B29)/(1+B28)-1,"")</x:f>
        <x:v>-0.006422242094138664</x:v>
      </x:c>
      <x:c r="D29" s="40" t="n">
        <x:f>IFERROR((1+B29)/(1+B26)-1,"")</x:f>
        <x:v>0.14021830394626345</x:v>
      </x:c>
      <x:c r="E29" s="40" t="n">
        <x:f>IFERROR((1+B29)/(1+B23)-1,"")</x:f>
        <x:v>0.21587743732590514</x:v>
      </x:c>
      <x:c r="F29" s="36" t="n">
        <x:v>5.586191025670807</x:v>
      </x:c>
      <x:c r="G29" s="40" t="n">
        <x:f>IFERROR(F29/F26-1,"")</x:f>
        <x:v>0.17746924289246935</x:v>
      </x:c>
      <x:c r="H29" s="38" t="n">
        <x:v>14043.200043177018</x:v>
      </x:c>
      <x:c r="I29" s="40" t="n">
        <x:f>IFERROR(H29/H28-1,"")</x:f>
        <x:v>0.040597706657864</x:v>
      </x:c>
      <x:c r="J29" s="40" t="n">
        <x:f>IFERROR(H29/H26-1,"")</x:f>
        <x:v>0.06857442101691302</x:v>
      </x:c>
      <x:c r="K29" s="40" t="n">
        <x:f>IFERROR(H29/H23-1,"")</x:f>
        <x:v>0.2866432365497309</x:v>
      </x:c>
      <x:c r="L29" s="40" t="n">
        <x:f>IFERROR(J29-J28,"")</x:f>
        <x:v>-0.1355001022393072</x:v>
      </x:c>
      <x:c r="M29" s="40" t="n">
        <x:f>IFERROR(J29-D29,"")</x:f>
        <x:v>-0.07164388292935042</x:v>
      </x:c>
      <x:c r="N29" s="42" t="str">
        <x:f>IF(J29&lt;0,IF(D29&lt;0,"Down-cycle","Price up / earnings down"),IF(AND(J29&gt;0,L29&lt;0,M29&lt;-0.15),"Late-cycle warning",IF(AND(J29&gt;0,M29&gt;0),"Earnings-led expansion",IF(AND(J29&gt;0,D29&lt;0),"Potential dislocation",IF(AND(J29&gt;0,M29&lt;0),"Price ahead / rerating","Neutral")))))</x:f>
        <x:v>Price ahead / rerating</x:v>
      </x:c>
      <x:c r="O29" s="40" t="n">
        <x:v>-0.13550010223930697</x:v>
      </x:c>
      <x:c r="P29" s="40" t="n">
        <x:v>0.5735294117647058</x:v>
      </x:c>
      <x:c r="Q29" s="40" t="n">
        <x:v>0.3230769230769231</x:v>
      </x:c>
      <x:c r="R29" s="40" t="n">
        <x:v>0.8169014084507042</x:v>
      </x:c>
      <x:c r="S29" s="40" t="n">
        <x:v>0.18309859154929575</x:v>
      </x:c>
      <x:c r="T29" s="40" t="n">
        <x:v>0.75</x:v>
      </x:c>
      <x:c r="U29" s="40" t="n">
        <x:v>0.4571973096610183</x:v>
      </x:c>
      <x:c r="V29" s="40" t="n">
        <x:v>0.468124243196737</x:v>
      </x:c>
      <x:c r="W29" s="64" t="str">
        <x:v>Stage 13 – Mixed / Transition</x:v>
      </x:c>
      <x:c r="X29" s="64" t="str">
        <x:v>Rev3M +6.9%; Accel3M -13.6ppt; Stock3M +14.0%; EV/EBITDA 5.6x (82th pct); PeakRatio36M 46%; Multiple3M +17.7%; Earnings-Price Gap -7.2%; CycleHeat 47%. Signals do not fit one dominant state; treat as a transition and require confirmation from the next 1–3 monthly observations.</x:v>
      </x:c>
    </x:row>
    <x:row r="30">
      <x:c r="A30" s="32" t="n">
        <x:v>43890</x:v>
      </x:c>
      <x:c r="B30" s="33" t="n">
        <x:v>0.149</x:v>
      </x:c>
      <x:c r="C30" s="40" t="n">
        <x:f>IFERROR((1+B30)/(1+B29)-1,"")</x:f>
        <x:v>-0.05989199803632783</x:v>
      </x:c>
      <x:c r="D30" s="40" t="n">
        <x:f>IFERROR((1+B30)/(1+B27)-1,"")</x:f>
        <x:v>0.08652482269503547</x:v>
      </x:c>
      <x:c r="E30" s="40" t="n">
        <x:f>IFERROR((1+B30)/(1+B24)-1,"")</x:f>
        <x:v>0.13559992093299078</x:v>
      </x:c>
      <x:c r="F30" s="36" t="n">
        <x:v>4.719299234522138</x:v>
      </x:c>
      <x:c r="G30" s="40" t="n">
        <x:f>IFERROR(F30/F27-1,"")</x:f>
        <x:v>-0.020859044598232068</x:v>
      </x:c>
      <x:c r="H30" s="38" t="n">
        <x:v>15823.941753058738</x:v>
      </x:c>
      <x:c r="I30" s="40" t="n">
        <x:f>IFERROR(H30/H29-1,"")</x:f>
        <x:v>0.1268045534071065</x:v>
      </x:c>
      <x:c r="J30" s="40" t="n">
        <x:f>IFERROR(H30/H27-1,"")</x:f>
        <x:v>0.20407452325622</x:v>
      </x:c>
      <x:c r="K30" s="40" t="n">
        <x:f>IFERROR(H30/H24-1,"")</x:f>
        <x:v>0.4118378641505256</x:v>
      </x:c>
      <x:c r="L30" s="40" t="n">
        <x:f>IFERROR(J30-J29,"")</x:f>
        <x:v>0.13550010223930697</x:v>
      </x:c>
      <x:c r="M30" s="40" t="n">
        <x:f>IFERROR(J30-D30,"")</x:f>
        <x:v>0.11754970056118452</x:v>
      </x:c>
      <x:c r="N30" s="42" t="str">
        <x:f>IF(J30&lt;0,IF(D30&lt;0,"Down-cycle","Price up / earnings down"),IF(AND(J30&gt;0,L30&lt;0,M30&lt;-0.15),"Late-cycle warning",IF(AND(J30&gt;0,M30&gt;0),"Earnings-led expansion",IF(AND(J30&gt;0,D30&lt;0),"Potential dislocation",IF(AND(J30&gt;0,M30&lt;0),"Price ahead / rerating","Neutral")))))</x:f>
        <x:v>Earnings-led expansion</x:v>
      </x:c>
      <x:c r="O30" s="40" t="n">
        <x:v>0.03152428912914629</x:v>
      </x:c>
      <x:c r="P30" s="40" t="n">
        <x:v>0.7426470588235294</x:v>
      </x:c>
      <x:c r="Q30" s="40" t="n">
        <x:v>0.5846153846153846</x:v>
      </x:c>
      <x:c r="R30" s="40" t="n">
        <x:v>0.647887323943662</x:v>
      </x:c>
      <x:c r="S30" s="40" t="n">
        <x:v>0.352112676056338</x:v>
      </x:c>
      <x:c r="T30" s="40" t="n">
        <x:v>0.6911764705882353</x:v>
      </x:c>
      <x:c r="U30" s="40" t="n">
        <x:v>0.5151720103315143</x:v>
      </x:c>
      <x:c r="V30" s="40" t="n">
        <x:v>0.6147381460709962</x:v>
      </x:c>
      <x:c r="W30" s="64" t="str">
        <x:v>Stage 5 – Early Recovery</x:v>
      </x:c>
      <x:c r="X30" s="64" t="str">
        <x:v>Rev3M +20.4%; Accel3M +3.2ppt; Stock3M +8.7%; EV/EBITDA 4.7x (65th pct); PeakRatio36M 52%; Multiple3M -2.1%; Earnings-Price Gap +11.8%; CycleHeat 61%. Forward EBITDA revisions have turned positive and are accelerating, but EBITDA remains well below its recent peak.</x:v>
      </x:c>
    </x:row>
    <x:row r="31">
      <x:c r="A31" s="32" t="n">
        <x:v>43921</x:v>
      </x:c>
      <x:c r="B31" s="33" t="n">
        <x:v>0.0889</x:v>
      </x:c>
      <x:c r="C31" s="40" t="n">
        <x:f>IFERROR((1+B31)/(1+B30)-1,"")</x:f>
        <x:v>-0.052306353350739854</x:v>
      </x:c>
      <x:c r="D31" s="40" t="n">
        <x:f>IFERROR((1+B31)/(1+B28)-1,"")</x:f>
        <x:v>-0.11478741565726358</x:v>
      </x:c>
      <x:c r="E31" s="40" t="n">
        <x:f>IFERROR((1+B31)/(1+B25)-1,"")</x:f>
        <x:v>0.013401582131223888</x:v>
      </x:c>
      <x:c r="F31" s="36" t="n">
        <x:v>3.9451348828096187</x:v>
      </x:c>
      <x:c r="G31" s="40" t="n">
        <x:f>IFERROR(F31/F28-1,"")</x:f>
        <x:v>-0.2516207666393845</x:v>
      </x:c>
      <x:c r="H31" s="38" t="n">
        <x:v>15823.941753058738</x:v>
      </x:c>
      <x:c r="I31" s="40" t="n">
        <x:f>IFERROR(H31/H30-1,"")</x:f>
        <x:v>0</x:v>
      </x:c>
      <x:c r="J31" s="40" t="n">
        <x:f>IFERROR(H31/H28-1,"")</x:f>
        <x:v>0.1725502341270737</x:v>
      </x:c>
      <x:c r="K31" s="40" t="n">
        <x:f>IFERROR(H31/H25-1,"")</x:f>
        <x:v>0.4118378641505256</x:v>
      </x:c>
      <x:c r="L31" s="40" t="n">
        <x:f>IFERROR(J31-J30,"")</x:f>
        <x:v>-0.03152428912914629</x:v>
      </x:c>
      <x:c r="M31" s="40" t="n">
        <x:f>IFERROR(J31-D31,"")</x:f>
        <x:v>0.2873376497843373</x:v>
      </x:c>
      <x:c r="N31" s="42" t="str">
        <x:f>IF(J31&lt;0,IF(D31&lt;0,"Down-cycle","Price up / earnings down"),IF(AND(J31&gt;0,L31&lt;0,M31&lt;-0.15),"Late-cycle warning",IF(AND(J31&gt;0,M31&gt;0),"Earnings-led expansion",IF(AND(J31&gt;0,D31&lt;0),"Potential dislocation",IF(AND(J31&gt;0,M31&lt;0),"Price ahead / rerating","Neutral")))))</x:f>
        <x:v>Earnings-led expansion</x:v>
      </x:c>
      <x:c r="O31" s="40" t="n">
        <x:v>-0.03152428912914651</x:v>
      </x:c>
      <x:c r="P31" s="40" t="n">
        <x:v>0.6838235294117647</x:v>
      </x:c>
      <x:c r="Q31" s="40" t="n">
        <x:v>0.5384615384615384</x:v>
      </x:c>
      <x:c r="R31" s="40" t="n">
        <x:v>0.5211267605633803</x:v>
      </x:c>
      <x:c r="S31" s="40" t="n">
        <x:v>0.47887323943661975</x:v>
      </x:c>
      <x:c r="T31" s="40" t="n">
        <x:v>0.17647058823529413</x:v>
      </x:c>
      <x:c r="U31" s="40" t="n">
        <x:v>0.5151720103315143</x:v>
      </x:c>
      <x:c r="V31" s="40" t="n">
        <x:v>0.505022385443885</x:v>
      </x:c>
      <x:c r="W31" s="64" t="str">
        <x:v>Stage 10 – Price-Led Roll-over</x:v>
      </x:c>
      <x:c r="X31" s="64" t="str">
        <x:v>Rev3M +17.3%; Accel3M -3.2ppt; Stock3M -11.5%; EV/EBITDA 3.9x (52th pct); PeakRatio36M 52%; Multiple3M -25.2%; Earnings-Price Gap +28.7%; CycleHeat 51%. The stock has turned negative before forward EBITDA revisions have turned negative; price may be leading a future earnings slowdown.</x:v>
      </x:c>
    </x:row>
    <x:row r="32">
      <x:c r="A32" s="32" t="n">
        <x:v>43951</x:v>
      </x:c>
      <x:c r="B32" s="33" t="n">
        <x:v>0.0941</x:v>
      </x:c>
      <x:c r="C32" s="40" t="n">
        <x:f>IFERROR((1+B32)/(1+B31)-1,"")</x:f>
        <x:v>0.004775461474882947</x:v>
      </x:c>
      <x:c r="D32" s="40" t="n">
        <x:f>IFERROR((1+B32)/(1+B29)-1,"")</x:f>
        <x:v>-0.10481099656357384</x:v>
      </x:c>
      <x:c r="E32" s="40" t="n">
        <x:f>IFERROR((1+B32)/(1+B26)-1,"")</x:f>
        <x:v>0.02071088720962777</x:v>
      </x:c>
      <x:c r="F32" s="36" t="n">
        <x:v>4.115015003819088</x:v>
      </x:c>
      <x:c r="G32" s="40" t="n">
        <x:f>IFERROR(F32/F29-1,"")</x:f>
        <x:v>-0.2633594188045254</x:v>
      </x:c>
      <x:c r="H32" s="38" t="n">
        <x:v>15615.42183782954</x:v>
      </x:c>
      <x:c r="I32" s="40" t="n">
        <x:f>IFERROR(H32/H31-1,"")</x:f>
        <x:v>-0.013177495119943261</x:v>
      </x:c>
      <x:c r="J32" s="40" t="n">
        <x:f>IFERROR(H32/H29-1,"")</x:f>
        <x:v>0.11195609190345457</x:v>
      </x:c>
      <x:c r="K32" s="40" t="n">
        <x:f>IFERROR(H32/H26-1,"")</x:f>
        <x:v>0.18820783710196332</x:v>
      </x:c>
      <x:c r="L32" s="40" t="n">
        <x:f>IFERROR(J32-J31,"")</x:f>
        <x:v>-0.06059414222361914</x:v>
      </x:c>
      <x:c r="M32" s="40" t="n">
        <x:f>IFERROR(J32-D32,"")</x:f>
        <x:v>0.2167670884670284</x:v>
      </x:c>
      <x:c r="N32" s="42" t="str">
        <x:f>IF(J32&lt;0,IF(D32&lt;0,"Down-cycle","Price up / earnings down"),IF(AND(J32&gt;0,L32&lt;0,M32&lt;-0.15),"Late-cycle warning",IF(AND(J32&gt;0,M32&gt;0),"Earnings-led expansion",IF(AND(J32&gt;0,D32&lt;0),"Potential dislocation",IF(AND(J32&gt;0,M32&lt;0),"Price ahead / rerating","Neutral")))))</x:f>
        <x:v>Earnings-led expansion</x:v>
      </x:c>
      <x:c r="O32" s="40" t="n">
        <x:v>0.043381670886541546</x:v>
      </x:c>
      <x:c r="P32" s="40" t="n">
        <x:v>0.625</x:v>
      </x:c>
      <x:c r="Q32" s="40" t="n">
        <x:v>0.6</x:v>
      </x:c>
      <x:c r="R32" s="40" t="n">
        <x:v>0.5774647887323944</x:v>
      </x:c>
      <x:c r="S32" s="40" t="n">
        <x:v>0.4225352112676056</x:v>
      </x:c>
      <x:c r="T32" s="40" t="n">
        <x:v>0.22058823529411764</x:v>
      </x:c>
      <x:c r="U32" s="40" t="n">
        <x:v>0.5083833336794394</x:v>
      </x:c>
      <x:c r="V32" s="40" t="n">
        <x:v>0.4973746893123447</x:v>
      </x:c>
      <x:c r="W32" s="64" t="str">
        <x:v>Stage 5 – Early Recovery</x:v>
      </x:c>
      <x:c r="X32" s="64" t="str">
        <x:v>Rev3M +11.2%; Accel3M +4.3ppt; Stock3M -10.5%; EV/EBITDA 4.1x (58th pct); PeakRatio36M 51%; Multiple3M -26.3%; Earnings-Price Gap +21.7%; CycleHeat 50%. Forward EBITDA revisions have turned positive and are accelerating, but EBITDA remains well below its recent peak.</x:v>
      </x:c>
    </x:row>
    <x:row r="33">
      <x:c r="A33" s="32" t="n">
        <x:v>43982</x:v>
      </x:c>
      <x:c r="B33" s="33" t="n">
        <x:v>0.0654</x:v>
      </x:c>
      <x:c r="C33" s="40" t="n">
        <x:f>IFERROR((1+B33)/(1+B32)-1,"")</x:f>
        <x:v>-0.026231605886116616</x:v>
      </x:c>
      <x:c r="D33" s="40" t="n">
        <x:f>IFERROR((1+B33)/(1+B30)-1,"")</x:f>
        <x:v>-0.07275892080069635</x:v>
      </x:c>
      <x:c r="E33" s="40" t="n">
        <x:f>IFERROR((1+B33)/(1+B27)-1,"")</x:f>
        <x:v>0.007470449172576554</x:v>
      </x:c>
      <x:c r="F33" s="36" t="n">
        <x:v>4.093386257348796</x:v>
      </x:c>
      <x:c r="G33" s="40" t="n">
        <x:f>IFERROR(F33/F30-1,"")</x:f>
        <x:v>-0.13262837257589577</x:v>
      </x:c>
      <x:c r="H33" s="38" t="n">
        <x:v>16249.372152940548</x:v>
      </x:c>
      <x:c r="I33" s="40" t="n">
        <x:f>IFERROR(H33/H32-1,"")</x:f>
        <x:v>0.040597706657864</x:v>
      </x:c>
      <x:c r="J33" s="40" t="n">
        <x:f>IFERROR(H33/H30-1,"")</x:f>
        <x:v>0.026885235456555856</x:v>
      </x:c>
      <x:c r="K33" s="40" t="n">
        <x:f>IFERROR(H33/H27-1,"")</x:f>
        <x:v>0.23644635032120376</x:v>
      </x:c>
      <x:c r="L33" s="40" t="n">
        <x:f>IFERROR(J33-J32,"")</x:f>
        <x:v>-0.08507085644689871</x:v>
      </x:c>
      <x:c r="M33" s="40" t="n">
        <x:f>IFERROR(J33-D33,"")</x:f>
        <x:v>0.0996441562572522</x:v>
      </x:c>
      <x:c r="N33" s="42" t="str">
        <x:f>IF(J33&lt;0,IF(D33&lt;0,"Down-cycle","Price up / earnings down"),IF(AND(J33&gt;0,L33&lt;0,M33&lt;-0.15),"Late-cycle warning",IF(AND(J33&gt;0,M33&gt;0),"Earnings-led expansion",IF(AND(J33&gt;0,D33&lt;0),"Potential dislocation",IF(AND(J33&gt;0,M33&lt;0),"Price ahead / rerating","Neutral")))))</x:f>
        <x:v>Earnings-led expansion</x:v>
      </x:c>
      <x:c r="O33" s="40" t="n">
        <x:v>-0.17718928779966414</x:v>
      </x:c>
      <x:c r="P33" s="40" t="n">
        <x:v>0.4632352941176471</x:v>
      </x:c>
      <x:c r="Q33" s="40" t="n">
        <x:v>0.23076923076923078</x:v>
      </x:c>
      <x:c r="R33" s="40" t="n">
        <x:v>0.5633802816901409</x:v>
      </x:c>
      <x:c r="S33" s="40" t="n">
        <x:v>0.43661971830985913</x:v>
      </x:c>
      <x:c r="T33" s="40" t="n">
        <x:v>0.3235294117647059</x:v>
      </x:c>
      <x:c r="U33" s="40" t="n">
        <x:v>0.5290225311299044</x:v>
      </x:c>
      <x:c r="V33" s="40" t="n">
        <x:v>0.37185448664839715</x:v>
      </x:c>
      <x:c r="W33" s="64" t="str">
        <x:v>Stage 10 – Price-Led Roll-over</x:v>
      </x:c>
      <x:c r="X33" s="64" t="str">
        <x:v>Rev3M +2.7%; Accel3M -17.7ppt; Stock3M -7.3%; EV/EBITDA 4.1x (56th pct); PeakRatio36M 53%; Multiple3M -13.3%; Earnings-Price Gap +10.0%; CycleHeat 37%. The stock has turned negative before forward EBITDA revisions have turned negative; price may be leading a future earnings slowdown.</x:v>
      </x:c>
    </x:row>
    <x:row r="34">
      <x:c r="A34" s="32" t="n">
        <x:v>44012</x:v>
      </x:c>
      <x:c r="B34" s="33" t="n">
        <x:v>0.1124</x:v>
      </x:c>
      <x:c r="C34" s="40" t="n">
        <x:f>IFERROR((1+B34)/(1+B33)-1,"")</x:f>
        <x:v>0.04411488642763306</x:v>
      </x:c>
      <x:c r="D34" s="40" t="n">
        <x:f>IFERROR((1+B34)/(1+B31)-1,"")</x:f>
        <x:v>0.021581412434567016</x:v>
      </x:c>
      <x:c r="E34" s="40" t="n">
        <x:f>IFERROR((1+B34)/(1+B28)-1,"")</x:f>
        <x:v>-0.09568327778229402</x:v>
      </x:c>
      <x:c r="F34" s="36" t="n">
        <x:v>4.2696501807362965</x:v>
      </x:c>
      <x:c r="G34" s="40" t="n">
        <x:f>IFERROR(F34/F31-1,"")</x:f>
        <x:v>0.08225708564254886</x:v>
      </x:c>
      <x:c r="H34" s="38" t="n">
        <x:v>15823.941753058738</x:v>
      </x:c>
      <x:c r="I34" s="40" t="n">
        <x:f>IFERROR(H34/H33-1,"")</x:f>
        <x:v>-0.02618134386225024</x:v>
      </x:c>
      <x:c r="J34" s="40" t="n">
        <x:f>IFERROR(H34/H31-1,"")</x:f>
        <x:v>0</x:v>
      </x:c>
      <x:c r="K34" s="40" t="n">
        <x:f>IFERROR(H34/H28-1,"")</x:f>
        <x:v>0.1725502341270737</x:v>
      </x:c>
      <x:c r="L34" s="40" t="n">
        <x:f>IFERROR(J34-J33,"")</x:f>
        <x:v>-0.026885235456555856</x:v>
      </x:c>
      <x:c r="M34" s="40" t="n">
        <x:f>IFERROR(J34-D34,"")</x:f>
        <x:v>-0.021581412434567016</x:v>
      </x:c>
      <x:c r="N34" s="42" t="str">
        <x:f>IF(J34&lt;0,IF(D34&lt;0,"Down-cycle","Price up / earnings down"),IF(AND(J34&gt;0,L34&lt;0,M34&lt;-0.15),"Late-cycle warning",IF(AND(J34&gt;0,M34&gt;0),"Earnings-led expansion",IF(AND(J34&gt;0,D34&lt;0),"Potential dislocation",IF(AND(J34&gt;0,M34&lt;0),"Price ahead / rerating","Neutral")))))</x:f>
        <x:v>Neutral</x:v>
      </x:c>
      <x:c r="O34" s="40" t="n">
        <x:v>-0.1725502341270737</x:v>
      </x:c>
      <x:c r="P34" s="40" t="n">
        <x:v>0.4411764705882353</x:v>
      </x:c>
      <x:c r="Q34" s="40" t="n">
        <x:v>0.24615384615384617</x:v>
      </x:c>
      <x:c r="R34" s="40" t="n">
        <x:v>0.6056338028169014</x:v>
      </x:c>
      <x:c r="S34" s="40" t="n">
        <x:v>0.3943661971830986</x:v>
      </x:c>
      <x:c r="T34" s="40" t="n">
        <x:v>0.5294117647058824</x:v>
      </x:c>
      <x:c r="U34" s="40" t="n">
        <x:v>0.5151720103315143</x:v>
      </x:c>
      <x:c r="V34" s="40" t="n">
        <x:v>0.4007058186221401</x:v>
      </x:c>
      <x:c r="W34" s="64" t="str">
        <x:v>Stage 13 – Mixed / Transition</x:v>
      </x:c>
      <x:c r="X34" s="64" t="str">
        <x:v>Rev3M +0.0%; Accel3M -17.3ppt; Stock3M +2.2%; EV/EBITDA 4.3x (61th pct); PeakRatio36M 52%; Multiple3M +8.2%; Earnings-Price Gap -2.2%; CycleHeat 40%. Signals do not fit one dominant state; treat as a transition and require confirmation from the next 1–3 monthly observations.</x:v>
      </x:c>
    </x:row>
    <x:row r="35">
      <x:c r="A35" s="32" t="n">
        <x:v>44043</x:v>
      </x:c>
      <x:c r="B35" s="33" t="n">
        <x:v>0.0824</x:v>
      </x:c>
      <x:c r="C35" s="40" t="n">
        <x:f>IFERROR((1+B35)/(1+B34)-1,"")</x:f>
        <x:v>-0.02696871628910469</x:v>
      </x:c>
      <x:c r="D35" s="40" t="n">
        <x:f>IFERROR((1+B35)/(1+B32)-1,"")</x:f>
        <x:v>-0.010693720866465584</x:v>
      </x:c>
      <x:c r="E35" s="40" t="n">
        <x:f>IFERROR((1+B35)/(1+B29)-1,"")</x:f>
        <x:v>-0.11438389788905245</x:v>
      </x:c>
      <x:c r="F35" s="36" t="n">
        <x:v>4.008002130848971</x:v>
      </x:c>
      <x:c r="G35" s="40" t="n">
        <x:f>IFERROR(F35/F32-1,"")</x:f>
        <x:v>-0.02600546361818845</x:v>
      </x:c>
      <x:c r="H35" s="38" t="n">
        <x:v>16686.24034929356</x:v>
      </x:c>
      <x:c r="I35" s="40" t="n">
        <x:f>IFERROR(H35/H34-1,"")</x:f>
        <x:v>0.054493286798666274</x:v>
      </x:c>
      <x:c r="J35" s="40" t="n">
        <x:f>IFERROR(H35/H32-1,"")</x:f>
        <x:v>0.0685744210169128</x:v>
      </x:c>
      <x:c r="K35" s="40" t="n">
        <x:f>IFERROR(H35/H29-1,"")</x:f>
        <x:v>0.1882078371019631</x:v>
      </x:c>
      <x:c r="L35" s="40" t="n">
        <x:f>IFERROR(J35-J34,"")</x:f>
        <x:v>0.0685744210169128</x:v>
      </x:c>
      <x:c r="M35" s="40" t="n">
        <x:f>IFERROR(J35-D35,"")</x:f>
        <x:v>0.07926814188337838</x:v>
      </x:c>
      <x:c r="N35" s="42" t="str">
        <x:f>IF(J35&lt;0,IF(D35&lt;0,"Down-cycle","Price up / earnings down"),IF(AND(J35&gt;0,L35&lt;0,M35&lt;-0.15),"Late-cycle warning",IF(AND(J35&gt;0,M35&gt;0),"Earnings-led expansion",IF(AND(J35&gt;0,D35&lt;0),"Potential dislocation",IF(AND(J35&gt;0,M35&lt;0),"Price ahead / rerating","Neutral")))))</x:f>
        <x:v>Earnings-led expansion</x:v>
      </x:c>
      <x:c r="O35" s="40" t="n">
        <x:v>-0.04338167088654177</x:v>
      </x:c>
      <x:c r="P35" s="40" t="n">
        <x:v>0.5588235294117647</x:v>
      </x:c>
      <x:c r="Q35" s="40" t="n">
        <x:v>0.5076923076923077</x:v>
      </x:c>
      <x:c r="R35" s="40" t="n">
        <x:v>0.5352112676056338</x:v>
      </x:c>
      <x:c r="S35" s="40" t="n">
        <x:v>0.46478873239436624</x:v>
      </x:c>
      <x:c r="T35" s="40" t="n">
        <x:v>0.45588235294117646</x:v>
      </x:c>
      <x:c r="U35" s="40" t="n">
        <x:v>0.543245426441155</x:v>
      </x:c>
      <x:c r="V35" s="40" t="n">
        <x:v>0.5066455292843031</x:v>
      </x:c>
      <x:c r="W35" s="64" t="str">
        <x:v>Stage 10 – Price-Led Roll-over</x:v>
      </x:c>
      <x:c r="X35" s="64" t="str">
        <x:v>Rev3M +6.9%; Accel3M -4.3ppt; Stock3M -1.1%; EV/EBITDA 4.0x (54th pct); PeakRatio36M 54%; Multiple3M -2.6%; Earnings-Price Gap +7.9%; CycleHeat 51%. The stock has turned negative before forward EBITDA revisions have turned negative; price may be leading a future earnings slowdown.</x:v>
      </x:c>
    </x:row>
    <x:row r="36">
      <x:c r="A36" s="32" t="n">
        <x:v>44074</x:v>
      </x:c>
      <x:c r="B36" s="33" t="n">
        <x:v>-0.0183</x:v>
      </x:c>
      <x:c r="C36" s="40" t="n">
        <x:f>IFERROR((1+B36)/(1+B35)-1,"")</x:f>
        <x:v>-0.09303399852180338</x:v>
      </x:c>
      <x:c r="D36" s="40" t="n">
        <x:f>IFERROR((1+B36)/(1+B33)-1,"")</x:f>
        <x:v>-0.07856204242538001</x:v>
      </x:c>
      <x:c r="E36" s="40" t="n">
        <x:f>IFERROR((1+B36)/(1+B30)-1,"")</x:f>
        <x:v>-0.14560487380330722</x:v>
      </x:c>
      <x:c r="F36" s="36" t="n">
        <x:v>3.842539821145867</x:v>
      </x:c>
      <x:c r="G36" s="40" t="n">
        <x:f>IFERROR(F36/F33-1,"")</x:f>
        <x:v>-0.061280910334955196</x:v>
      </x:c>
      <x:c r="H36" s="38" t="n">
        <x:v>15823.941753058738</x:v>
      </x:c>
      <x:c r="I36" s="40" t="n">
        <x:f>IFERROR(H36/H35-1,"")</x:f>
        <x:v>-0.05167722495806726</x:v>
      </x:c>
      <x:c r="J36" s="40" t="n">
        <x:f>IFERROR(H36/H33-1,"")</x:f>
        <x:v>-0.02618134386225024</x:v>
      </x:c>
      <x:c r="K36" s="40" t="n">
        <x:f>IFERROR(H36/H30-1,"")</x:f>
        <x:v>0</x:v>
      </x:c>
      <x:c r="L36" s="40" t="n">
        <x:f>IFERROR(J36-J35,"")</x:f>
        <x:v>-0.09475576487916304</x:v>
      </x:c>
      <x:c r="M36" s="40" t="n">
        <x:f>IFERROR(J36-D36,"")</x:f>
        <x:v>0.05238069856312977</x:v>
      </x:c>
      <x:c r="N36" s="42" t="str">
        <x:f>IF(J36&lt;0,IF(D36&lt;0,"Down-cycle","Price up / earnings down"),IF(AND(J36&gt;0,L36&lt;0,M36&lt;-0.15),"Late-cycle warning",IF(AND(J36&gt;0,M36&gt;0),"Earnings-led expansion",IF(AND(J36&gt;0,D36&lt;0),"Potential dislocation",IF(AND(J36&gt;0,M36&lt;0),"Price ahead / rerating","Neutral")))))</x:f>
        <x:v>Down-cycle</x:v>
      </x:c>
      <x:c r="O36" s="40" t="n">
        <x:v>-0.053066579318806095</x:v>
      </x:c>
      <x:c r="P36" s="40" t="n">
        <x:v>0.4264705882352941</x:v>
      </x:c>
      <x:c r="Q36" s="40" t="n">
        <x:v>0.47692307692307695</x:v>
      </x:c>
      <x:c r="R36" s="40" t="n">
        <x:v>0.49295774647887325</x:v>
      </x:c>
      <x:c r="S36" s="40" t="n">
        <x:v>0.5070422535211268</x:v>
      </x:c>
      <x:c r="T36" s="40" t="n">
        <x:v>0.3088235294117647</x:v>
      </x:c>
      <x:c r="U36" s="40" t="n">
        <x:v>0.5151720103315143</x:v>
      </x:c>
      <x:c r="V36" s="40" t="n">
        <x:v>0.4316686316997005</x:v>
      </x:c>
      <x:c r="W36" s="64" t="str">
        <x:v>Stage 1 – Downturn Acceleration</x:v>
      </x:c>
      <x:c r="X36" s="64" t="str">
        <x:v>Rev3M -2.6%; Accel3M -5.3ppt; Stock3M -7.9%; EV/EBITDA 3.8x (49th pct); PeakRatio36M 52%; Multiple3M -6.1%; Earnings-Price Gap +5.2%; CycleHeat 43%. Forward EBITDA is being cut, revision momentum is still worsening, the stock is falling, and earnings are already well below the prior peak.</x:v>
      </x:c>
    </x:row>
    <x:row r="37">
      <x:c r="A37" s="32" t="n">
        <x:v>44104</x:v>
      </x:c>
      <x:c r="B37" s="33" t="n">
        <x:v>0.098</x:v>
      </x:c>
      <x:c r="C37" s="40" t="n">
        <x:f>IFERROR((1+B37)/(1+B36)-1,"")</x:f>
        <x:v>0.11846796373637569</x:v>
      </x:c>
      <x:c r="D37" s="40" t="n">
        <x:f>IFERROR((1+B37)/(1+B34)-1,"")</x:f>
        <x:v>-0.012944983818770184</x:v>
      </x:c>
      <x:c r="E37" s="40" t="n">
        <x:f>IFERROR((1+B37)/(1+B31)-1,"")</x:f>
        <x:v>0.008357057581045213</x:v>
      </x:c>
      <x:c r="F37" s="36" t="n">
        <x:v>4.136758032852629</x:v>
      </x:c>
      <x:c r="G37" s="40" t="n">
        <x:f>IFERROR(F37/F34-1,"")</x:f>
        <x:v>-0.03112483277511746</x:v>
      </x:c>
      <x:c r="H37" s="38" t="n">
        <x:v>15006.204355362568</x:v>
      </x:c>
      <x:c r="I37" s="40" t="n">
        <x:f>IFERROR(H37/H36-1,"")</x:f>
        <x:v>-0.05167722495806726</x:v>
      </x:c>
      <x:c r="J37" s="40" t="n">
        <x:f>IFERROR(H37/H34-1,"")</x:f>
        <x:v>-0.05167722495806726</x:v>
      </x:c>
      <x:c r="K37" s="40" t="n">
        <x:f>IFERROR(H37/H31-1,"")</x:f>
        <x:v>-0.05167722495806726</x:v>
      </x:c>
      <x:c r="L37" s="40" t="n">
        <x:f>IFERROR(J37-J36,"")</x:f>
        <x:v>-0.02549588109581702</x:v>
      </x:c>
      <x:c r="M37" s="40" t="n">
        <x:f>IFERROR(J37-D37,"")</x:f>
        <x:v>-0.038732241139297074</x:v>
      </x:c>
      <x:c r="N37" s="42" t="str">
        <x:f>IF(J37&lt;0,IF(D37&lt;0,"Down-cycle","Price up / earnings down"),IF(AND(J37&gt;0,L37&lt;0,M37&lt;-0.15),"Late-cycle warning",IF(AND(J37&gt;0,M37&gt;0),"Earnings-led expansion",IF(AND(J37&gt;0,D37&lt;0),"Potential dislocation",IF(AND(J37&gt;0,M37&lt;0),"Price ahead / rerating","Neutral")))))</x:f>
        <x:v>Down-cycle</x:v>
      </x:c>
      <x:c r="O37" s="40" t="n">
        <x:v>-0.05167722495806726</x:v>
      </x:c>
      <x:c r="P37" s="40" t="n">
        <x:v>0.3602941176470588</x:v>
      </x:c>
      <x:c r="Q37" s="40" t="n">
        <x:v>0.49230769230769234</x:v>
      </x:c>
      <x:c r="R37" s="40" t="n">
        <x:v>0.5915492957746479</x:v>
      </x:c>
      <x:c r="S37" s="40" t="n">
        <x:v>0.4084507042253521</x:v>
      </x:c>
      <x:c r="T37" s="40" t="n">
        <x:v>0.4411764705882353</x:v>
      </x:c>
      <x:c r="U37" s="40" t="n">
        <x:v>0.4885493504615129</x:v>
      </x:c>
      <x:c r="V37" s="40" t="n">
        <x:v>0.41910529921611117</x:v>
      </x:c>
      <x:c r="W37" s="64" t="str">
        <x:v>Stage 1 – Downturn Acceleration</x:v>
      </x:c>
      <x:c r="X37" s="64" t="str">
        <x:v>Rev3M -5.2%; Accel3M -5.2ppt; Stock3M -1.3%; EV/EBITDA 4.1x (59th pct); PeakRatio36M 49%; Multiple3M -3.1%; Earnings-Price Gap -3.9%; CycleHeat 42%. Forward EBITDA is being cut, revision momentum is still worsening, the stock is falling, and earnings are already well below the prior peak.</x:v>
      </x:c>
    </x:row>
    <x:row r="38">
      <x:c r="A38" s="32" t="n">
        <x:v>44135</x:v>
      </x:c>
      <x:c r="B38" s="33" t="n">
        <x:v>0.0444</x:v>
      </x:c>
      <x:c r="C38" s="40" t="n">
        <x:f>IFERROR((1+B38)/(1+B37)-1,"")</x:f>
        <x:v>-0.04881602914389804</x:v>
      </x:c>
      <x:c r="D38" s="40" t="n">
        <x:f>IFERROR((1+B38)/(1+B35)-1,"")</x:f>
        <x:v>-0.03510716925351076</x:v>
      </x:c>
      <x:c r="E38" s="40" t="n">
        <x:f>IFERROR((1+B38)/(1+B32)-1,"")</x:f>
        <x:v>-0.04542546385156754</x:v>
      </x:c>
      <x:c r="F38" s="36" t="n">
        <x:v>4.029179722332032</x:v>
      </x:c>
      <x:c r="G38" s="40" t="n">
        <x:f>IFERROR(F38/F35-1,"")</x:f>
        <x:v>0.005283827401203256</x:v>
      </x:c>
      <x:c r="H38" s="38" t="n">
        <x:v>14808.460170700906</x:v>
      </x:c>
      <x:c r="I38" s="40" t="n">
        <x:f>IFERROR(H38/H37-1,"")</x:f>
        <x:v>-0.013177495119943261</x:v>
      </x:c>
      <x:c r="J38" s="40" t="n">
        <x:f>IFERROR(H38/H35-1,"")</x:f>
        <x:v>-0.1125346476668816</x:v>
      </x:c>
      <x:c r="K38" s="40" t="n">
        <x:f>IFERROR(H38/H32-1,"")</x:f>
        <x:v>-0.05167722495806737</x:v>
      </x:c>
      <x:c r="L38" s="40" t="n">
        <x:f>IFERROR(J38-J37,"")</x:f>
        <x:v>-0.060857422708814335</x:v>
      </x:c>
      <x:c r="M38" s="40" t="n">
        <x:f>IFERROR(J38-D38,"")</x:f>
        <x:v>-0.07742747841337083</x:v>
      </x:c>
      <x:c r="N38" s="42" t="str">
        <x:f>IF(J38&lt;0,IF(D38&lt;0,"Down-cycle","Price up / earnings down"),IF(AND(J38&gt;0,L38&lt;0,M38&lt;-0.15),"Late-cycle warning",IF(AND(J38&gt;0,M38&gt;0),"Earnings-led expansion",IF(AND(J38&gt;0,D38&lt;0),"Potential dislocation",IF(AND(J38&gt;0,M38&lt;0),"Price ahead / rerating","Neutral")))))</x:f>
        <x:v>Down-cycle</x:v>
      </x:c>
      <x:c r="O38" s="40" t="n">
        <x:v>-0.1811090686837944</x:v>
      </x:c>
      <x:c r="P38" s="40" t="n">
        <x:v>0.27941176470588236</x:v>
      </x:c>
      <x:c r="Q38" s="40" t="n">
        <x:v>0.2153846153846154</x:v>
      </x:c>
      <x:c r="R38" s="40" t="n">
        <x:v>0.5492957746478874</x:v>
      </x:c>
      <x:c r="S38" s="40" t="n">
        <x:v>0.45070422535211263</x:v>
      </x:c>
      <x:c r="T38" s="40" t="n">
        <x:v>0.4117647058823529</x:v>
      </x:c>
      <x:c r="U38" s="40" t="n">
        <x:v>0.4821114937799548</x:v>
      </x:c>
      <x:c r="V38" s="40" t="n">
        <x:v>0.3241340577401058</x:v>
      </x:c>
      <x:c r="W38" s="64" t="str">
        <x:v>Stage 1 – Downturn Acceleration</x:v>
      </x:c>
      <x:c r="X38" s="64" t="str">
        <x:v>Rev3M -11.3%; Accel3M -18.1ppt; Stock3M -3.5%; EV/EBITDA 4.0x (55th pct); PeakRatio36M 48%; Multiple3M +0.5%; Earnings-Price Gap -7.7%; CycleHeat 32%. Forward EBITDA is being cut, revision momentum is still worsening, the stock is falling, and earnings are already well below the prior peak.</x:v>
      </x:c>
    </x:row>
    <x:row r="39">
      <x:c r="A39" s="32" t="n">
        <x:v>44165</x:v>
      </x:c>
      <x:c r="B39" s="33" t="n">
        <x:v>0.2745</x:v>
      </x:c>
      <x:c r="C39" s="40" t="n">
        <x:f>IFERROR((1+B39)/(1+B38)-1,"")</x:f>
        <x:v>0.2203178858674837</x:v>
      </x:c>
      <x:c r="D39" s="40" t="n">
        <x:f>IFERROR((1+B39)/(1+B36)-1,"")</x:f>
        <x:v>0.2982581236630335</x:v>
      </x:c>
      <x:c r="E39" s="40" t="n">
        <x:f>IFERROR((1+B39)/(1+B33)-1,"")</x:f>
        <x:v>0.19626431387272403</x:v>
      </x:c>
      <x:c r="F39" s="36" t="n">
        <x:v>4.845303601038009</x:v>
      </x:c>
      <x:c r="G39" s="40" t="n">
        <x:f>IFERROR(F39/F36-1,"")</x:f>
        <x:v>0.2609637964904974</x:v>
      </x:c>
      <x:c r="H39" s="38" t="n">
        <x:v>15409.649692765686</x:v>
      </x:c>
      <x:c r="I39" s="40" t="n">
        <x:f>IFERROR(H39/H38-1,"")</x:f>
        <x:v>0.04059770665786422</x:v>
      </x:c>
      <x:c r="J39" s="40" t="n">
        <x:f>IFERROR(H39/H36-1,"")</x:f>
        <x:v>-0.02618134386225035</x:v>
      </x:c>
      <x:c r="K39" s="40" t="n">
        <x:f>IFERROR(H39/H33-1,"")</x:f>
        <x:v>-0.05167722495806726</x:v>
      </x:c>
      <x:c r="L39" s="40" t="n">
        <x:f>IFERROR(J39-J38,"")</x:f>
        <x:v>0.08635330380463124</x:v>
      </x:c>
      <x:c r="M39" s="40" t="n">
        <x:f>IFERROR(J39-D39,"")</x:f>
        <x:v>-0.32443946752528385</x:v>
      </x:c>
      <x:c r="N39" s="42" t="str">
        <x:f>IF(J39&lt;0,IF(D39&lt;0,"Down-cycle","Price up / earnings down"),IF(AND(J39&gt;0,L39&lt;0,M39&lt;-0.15),"Late-cycle warning",IF(AND(J39&gt;0,M39&gt;0),"Earnings-led expansion",IF(AND(J39&gt;0,D39&lt;0),"Potential dislocation",IF(AND(J39&gt;0,M39&lt;0),"Price ahead / rerating","Neutral")))))</x:f>
        <x:v>Price up / earnings down</x:v>
      </x:c>
      <x:c r="O39" s="40" t="n">
        <x:v>-1.1102230246251565e-16</x:v>
      </x:c>
      <x:c r="P39" s="40" t="n">
        <x:v>0.40441176470588236</x:v>
      </x:c>
      <x:c r="Q39" s="40" t="n">
        <x:v>0.5538461538461539</x:v>
      </x:c>
      <x:c r="R39" s="40" t="n">
        <x:v>0.704225352112676</x:v>
      </x:c>
      <x:c r="S39" s="40" t="n">
        <x:v>0.295774647887324</x:v>
      </x:c>
      <x:c r="T39" s="40" t="n">
        <x:v>0.9264705882352942</x:v>
      </x:c>
      <x:c r="U39" s="40" t="n">
        <x:v>0.5016841147808182</x:v>
      </x:c>
      <x:c r="V39" s="40" t="n">
        <x:v>0.5244547033331209</x:v>
      </x:c>
      <x:c r="W39" s="64" t="str">
        <x:v>Stage 13 – Mixed / Transition</x:v>
      </x:c>
      <x:c r="X39" s="64" t="str">
        <x:v>Rev3M -2.6%; Accel3M -0.0ppt; Stock3M +29.8%; EV/EBITDA 4.8x (70th pct); PeakRatio36M 50%; Multiple3M +26.1%; Earnings-Price Gap -32.4%; CycleHeat 52%. Signals do not fit one dominant state; treat as a transition and require confirmation from the next 1–3 monthly observations.</x:v>
      </x:c>
    </x:row>
    <x:row r="40">
      <x:c r="A40" s="32" t="n">
        <x:v>44196</x:v>
      </x:c>
      <x:c r="B40" s="33" t="n">
        <x:v>0.549</x:v>
      </x:c>
      <x:c r="C40" s="40" t="n">
        <x:f>IFERROR((1+B40)/(1+B39)-1,"")</x:f>
        <x:v>0.21537857983522946</x:v>
      </x:c>
      <x:c r="D40" s="40" t="n">
        <x:f>IFERROR((1+B40)/(1+B37)-1,"")</x:f>
        <x:v>0.4107468123861564</x:v>
      </x:c>
      <x:c r="E40" s="40" t="n">
        <x:f>IFERROR((1+B40)/(1+B34)-1,"")</x:f>
        <x:v>0.392484717727436</x:v>
      </x:c>
      <x:c r="F40" s="36" t="n">
        <x:v>5.556829696655793</x:v>
      </x:c>
      <x:c r="G40" s="40" t="n">
        <x:f>IFERROR(F40/F37-1,"")</x:f>
        <x:v>0.3432812972200623</x:v>
      </x:c>
      <x:c r="H40" s="38" t="n">
        <x:v>15823.941753058738</x:v>
      </x:c>
      <x:c r="I40" s="40" t="n">
        <x:f>IFERROR(H40/H39-1,"")</x:f>
        <x:v>0.026885235456556078</x:v>
      </x:c>
      <x:c r="J40" s="40" t="n">
        <x:f>IFERROR(H40/H37-1,"")</x:f>
        <x:v>0.054493286798666496</x:v>
      </x:c>
      <x:c r="K40" s="40" t="n">
        <x:f>IFERROR(H40/H34-1,"")</x:f>
        <x:v>0</x:v>
      </x:c>
      <x:c r="L40" s="40" t="n">
        <x:f>IFERROR(J40-J39,"")</x:f>
        <x:v>0.08067463066091685</x:v>
      </x:c>
      <x:c r="M40" s="40" t="n">
        <x:f>IFERROR(J40-D40,"")</x:f>
        <x:v>-0.3562535255874899</x:v>
      </x:c>
      <x:c r="N40" s="42" t="str">
        <x:f>IF(J40&lt;0,IF(D40&lt;0,"Down-cycle","Price up / earnings down"),IF(AND(J40&gt;0,L40&lt;0,M40&lt;-0.15),"Late-cycle warning",IF(AND(J40&gt;0,M40&gt;0),"Earnings-led expansion",IF(AND(J40&gt;0,D40&lt;0),"Potential dislocation",IF(AND(J40&gt;0,M40&lt;0),"Price ahead / rerating","Neutral")))))</x:f>
        <x:v>Price ahead / rerating</x:v>
      </x:c>
      <x:c r="O40" s="40" t="n">
        <x:v>0.10617051175673375</x:v>
      </x:c>
      <x:c r="P40" s="40" t="n">
        <x:v>0.5220588235294118</x:v>
      </x:c>
      <x:c r="Q40" s="40" t="n">
        <x:v>0.7076923076923077</x:v>
      </x:c>
      <x:c r="R40" s="40" t="n">
        <x:v>0.8028169014084507</x:v>
      </x:c>
      <x:c r="S40" s="40" t="n">
        <x:v>0.19718309859154926</x:v>
      </x:c>
      <x:c r="T40" s="40" t="n">
        <x:v>0.9705882352941176</x:v>
      </x:c>
      <x:c r="U40" s="40" t="n">
        <x:v>0.5151720103315143</x:v>
      </x:c>
      <x:c r="V40" s="40" t="n">
        <x:v>0.5931979319355044</x:v>
      </x:c>
      <x:c r="W40" s="64" t="str">
        <x:v>Stage 5 – Early Recovery</x:v>
      </x:c>
      <x:c r="X40" s="64" t="str">
        <x:v>Rev3M +5.4%; Accel3M +10.6ppt; Stock3M +41.1%; EV/EBITDA 5.6x (80th pct); PeakRatio36M 52%; Multiple3M +34.3%; Earnings-Price Gap -35.6%; CycleHeat 59%. Forward EBITDA revisions have turned positive and are accelerating, but EBITDA remains well below its recent peak.</x:v>
      </x:c>
    </x:row>
    <x:row r="41">
      <x:c r="A41" s="32" t="n">
        <x:v>44227</x:v>
      </x:c>
      <x:c r="B41" s="33" t="n">
        <x:v>0.6013</x:v>
      </x:c>
      <x:c r="C41" s="40" t="n">
        <x:f>IFERROR((1+B41)/(1+B40)-1,"")</x:f>
        <x:v>0.033763718528082576</x:v>
      </x:c>
      <x:c r="D41" s="40" t="n">
        <x:f>IFERROR((1+B41)/(1+B38)-1,"")</x:f>
        <x:v>0.5332248180773649</x:v>
      </x:c>
      <x:c r="E41" s="40" t="n">
        <x:f>IFERROR((1+B41)/(1+B35)-1,"")</x:f>
        <x:v>0.4793976348854396</x:v>
      </x:c>
      <x:c r="F41" s="36" t="n">
        <x:v>5.027381765727259</x:v>
      </x:c>
      <x:c r="G41" s="40" t="n">
        <x:f>IFERROR(F41/F38-1,"")</x:f>
        <x:v>0.2477432411025542</x:v>
      </x:c>
      <x:c r="H41" s="38" t="n">
        <x:v>18068.588355068532</x:v>
      </x:c>
      <x:c r="I41" s="40" t="n">
        <x:f>IFERROR(H41/H40-1,"")</x:f>
        <x:v>0.1418512932516267</x:v>
      </x:c>
      <x:c r="J41" s="40" t="n">
        <x:f>IFERROR(H41/H38-1,"")</x:f>
        <x:v>0.22015308457377025</x:v>
      </x:c>
      <x:c r="K41" s="40" t="n">
        <x:f>IFERROR(H41/H35-1,"")</x:f>
        <x:v>0.08284358710160244</x:v>
      </x:c>
      <x:c r="L41" s="40" t="n">
        <x:f>IFERROR(J41-J40,"")</x:f>
        <x:v>0.16565979777510376</x:v>
      </x:c>
      <x:c r="M41" s="40" t="n">
        <x:f>IFERROR(J41-D41,"")</x:f>
        <x:v>-0.31307173350359463</x:v>
      </x:c>
      <x:c r="N41" s="42" t="str">
        <x:f>IF(J41&lt;0,IF(D41&lt;0,"Down-cycle","Price up / earnings down"),IF(AND(J41&gt;0,L41&lt;0,M41&lt;-0.15),"Late-cycle warning",IF(AND(J41&gt;0,M41&gt;0),"Earnings-led expansion",IF(AND(J41&gt;0,D41&lt;0),"Potential dislocation",IF(AND(J41&gt;0,M41&lt;0),"Price ahead / rerating","Neutral")))))</x:f>
        <x:v>Price ahead / rerating</x:v>
      </x:c>
      <x:c r="O41" s="40" t="n">
        <x:v>0.33268773224065185</x:v>
      </x:c>
      <x:c r="P41" s="40" t="n">
        <x:v>0.7794117647058824</x:v>
      </x:c>
      <x:c r="Q41" s="40" t="n">
        <x:v>0.8923076923076924</x:v>
      </x:c>
      <x:c r="R41" s="40" t="n">
        <x:v>0.7323943661971831</x:v>
      </x:c>
      <x:c r="S41" s="40" t="n">
        <x:v>0.2676056338028169</x:v>
      </x:c>
      <x:c r="T41" s="40" t="n">
        <x:v>1</x:v>
      </x:c>
      <x:c r="U41" s="40" t="n">
        <x:v>0.58824982624408</x:v>
      </x:c>
      <x:c r="V41" s="40" t="n">
        <x:v>0.7493921674845454</x:v>
      </x:c>
      <x:c r="W41" s="64" t="str">
        <x:v>Stage 5 – Early Recovery</x:v>
      </x:c>
      <x:c r="X41" s="64" t="str">
        <x:v>Rev3M +22.0%; Accel3M +33.3ppt; Stock3M +53.3%; EV/EBITDA 5.0x (73th pct); PeakRatio36M 59%; Multiple3M +24.8%; Earnings-Price Gap -31.3%; CycleHeat 75%. Forward EBITDA revisions have turned positive and are accelerating, but EBITDA remains well below its recent peak.</x:v>
      </x:c>
    </x:row>
    <x:row r="42">
      <x:c r="A42" s="32" t="n">
        <x:v>44255</x:v>
      </x:c>
      <x:c r="B42" s="33" t="n">
        <x:v>0.8497</x:v>
      </x:c>
      <x:c r="C42" s="40" t="n">
        <x:f>IFERROR((1+B42)/(1+B41)-1,"")</x:f>
        <x:v>0.15512396178105292</x:v>
      </x:c>
      <x:c r="D42" s="40" t="n">
        <x:f>IFERROR((1+B42)/(1+B39)-1,"")</x:f>
        <x:v>0.45131424087877603</x:v>
      </x:c>
      <x:c r="E42" s="40" t="n">
        <x:f>IFERROR((1+B42)/(1+B36)-1,"")</x:f>
        <x:v>0.8841805032087193</x:v>
      </x:c>
      <x:c r="F42" s="36" t="n">
        <x:v>5.0009575690914385</x:v>
      </x:c>
      <x:c r="G42" s="40" t="n">
        <x:f>IFERROR(F42/F39-1,"")</x:f>
        <x:v>0.03212470896975028</x:v>
      </x:c>
      <x:c r="H42" s="38" t="n">
        <x:v>21186.327506081325</x:v>
      </x:c>
      <x:c r="I42" s="40" t="n">
        <x:f>IFERROR(H42/H41-1,"")</x:f>
        <x:v>0.1725502341270737</x:v>
      </x:c>
      <x:c r="J42" s="40" t="n">
        <x:f>IFERROR(H42/H39-1,"")</x:f>
        <x:v>0.3748740515514506</x:v>
      </x:c>
      <x:c r="K42" s="40" t="n">
        <x:f>IFERROR(H42/H36-1,"")</x:f>
        <x:v>0.33887800124049683</x:v>
      </x:c>
      <x:c r="L42" s="40" t="n">
        <x:f>IFERROR(J42-J41,"")</x:f>
        <x:v>0.15472096697768034</x:v>
      </x:c>
      <x:c r="M42" s="40" t="n">
        <x:f>IFERROR(J42-D42,"")</x:f>
        <x:v>-0.07644018932732544</x:v>
      </x:c>
      <x:c r="N42" s="42" t="str">
        <x:f>IF(J42&lt;0,IF(D42&lt;0,"Down-cycle","Price up / earnings down"),IF(AND(J42&gt;0,L42&lt;0,M42&lt;-0.15),"Late-cycle warning",IF(AND(J42&gt;0,M42&gt;0),"Earnings-led expansion",IF(AND(J42&gt;0,D42&lt;0),"Potential dislocation",IF(AND(J42&gt;0,M42&lt;0),"Price ahead / rerating","Neutral")))))</x:f>
        <x:v>Price ahead / rerating</x:v>
      </x:c>
      <x:c r="O42" s="40" t="n">
        <x:v>0.40105539541370094</x:v>
      </x:c>
      <x:c r="P42" s="40" t="n">
        <x:v>0.8970588235294118</x:v>
      </x:c>
      <x:c r="Q42" s="40" t="n">
        <x:v>0.9230769230769231</x:v>
      </x:c>
      <x:c r="R42" s="40" t="n">
        <x:v>0.7183098591549296</x:v>
      </x:c>
      <x:c r="S42" s="40" t="n">
        <x:v>0.2816901408450704</x:v>
      </x:c>
      <x:c r="T42" s="40" t="n">
        <x:v>0.9852941176470589</x:v>
      </x:c>
      <x:c r="U42" s="40" t="n">
        <x:v>0.6897524714877065</x:v>
      </x:c>
      <x:c r="V42" s="40" t="n">
        <x:v>0.7981366707029509</x:v>
      </x:c>
      <x:c r="W42" s="64" t="str">
        <x:v>Stage 5 – Early Recovery</x:v>
      </x:c>
      <x:c r="X42" s="64" t="str">
        <x:v>Rev3M +37.5%; Accel3M +40.1ppt; Stock3M +45.1%; EV/EBITDA 5.0x (72th pct); PeakRatio36M 69%; Multiple3M +3.2%; Earnings-Price Gap -7.6%; CycleHeat 80%. Forward EBITDA revisions have turned positive and are accelerating, but EBITDA remains well below its recent peak.</x:v>
      </x:c>
    </x:row>
    <x:row r="43">
      <x:c r="A43" s="32" t="n">
        <x:v>44286</x:v>
      </x:c>
      <x:c r="B43" s="33" t="n">
        <x:v>0.732</x:v>
      </x:c>
      <x:c r="C43" s="40" t="n">
        <x:f>IFERROR((1+B43)/(1+B42)-1,"")</x:f>
        <x:v>-0.06363194031464559</x:v>
      </x:c>
      <x:c r="D43" s="40" t="n">
        <x:f>IFERROR((1+B43)/(1+B40)-1,"")</x:f>
        <x:v>0.11814073595868302</x:v>
      </x:c>
      <x:c r="E43" s="40" t="n">
        <x:f>IFERROR((1+B43)/(1+B37)-1,"")</x:f>
        <x:v>0.5774134790528231</x:v>
      </x:c>
      <x:c r="F43" s="36" t="n">
        <x:v>4.7945030905021735</x:v>
      </x:c>
      <x:c r="G43" s="40" t="n">
        <x:f>IFERROR(F43/F40-1,"")</x:f>
        <x:v>-0.13718732582580362</x:v>
      </x:c>
      <x:c r="H43" s="38" t="n">
        <x:v>21186.327506081325</x:v>
      </x:c>
      <x:c r="I43" s="40" t="n">
        <x:f>IFERROR(H43/H42-1,"")</x:f>
        <x:v>0</x:v>
      </x:c>
      <x:c r="J43" s="40" t="n">
        <x:f>IFERROR(H43/H40-1,"")</x:f>
        <x:v>0.33887800124049683</x:v>
      </x:c>
      <x:c r="K43" s="40" t="n">
        <x:f>IFERROR(H43/H37-1,"")</x:f>
        <x:v>0.4118378641505205</x:v>
      </x:c>
      <x:c r="L43" s="40" t="n">
        <x:f>IFERROR(J43-J42,"")</x:f>
        <x:v>-0.035996050310953764</x:v>
      </x:c>
      <x:c r="M43" s="40" t="n">
        <x:f>IFERROR(J43-D43,"")</x:f>
        <x:v>0.2207372652818138</x:v>
      </x:c>
      <x:c r="N43" s="42" t="str">
        <x:f>IF(J43&lt;0,IF(D43&lt;0,"Down-cycle","Price up / earnings down"),IF(AND(J43&gt;0,L43&lt;0,M43&lt;-0.15),"Late-cycle warning",IF(AND(J43&gt;0,M43&gt;0),"Earnings-led expansion",IF(AND(J43&gt;0,D43&lt;0),"Potential dislocation",IF(AND(J43&gt;0,M43&lt;0),"Price ahead / rerating","Neutral")))))</x:f>
        <x:v>Earnings-led expansion</x:v>
      </x:c>
      <x:c r="O43" s="40" t="n">
        <x:v>0.28438471444183033</x:v>
      </x:c>
      <x:c r="P43" s="40" t="n">
        <x:v>0.8823529411764706</x:v>
      </x:c>
      <x:c r="Q43" s="40" t="n">
        <x:v>0.8769230769230769</x:v>
      </x:c>
      <x:c r="R43" s="40" t="n">
        <x:v>0.676056338028169</x:v>
      </x:c>
      <x:c r="S43" s="40" t="n">
        <x:v>0.323943661971831</x:v>
      </x:c>
      <x:c r="T43" s="40" t="n">
        <x:v>0.7205882352941176</x:v>
      </x:c>
      <x:c r="U43" s="40" t="n">
        <x:v>0.6897524714877065</x:v>
      </x:c>
      <x:c r="V43" s="40" t="n">
        <x:v>0.7369606780957236</x:v>
      </x:c>
      <x:c r="W43" s="64" t="str">
        <x:v>Stage 5 – Early Recovery</x:v>
      </x:c>
      <x:c r="X43" s="64" t="str">
        <x:v>Rev3M +33.9%; Accel3M +28.4ppt; Stock3M +11.8%; EV/EBITDA 4.8x (68th pct); PeakRatio36M 69%; Multiple3M -13.7%; Earnings-Price Gap +22.1%; CycleHeat 74%. Forward EBITDA revisions have turned positive and are accelerating, but EBITDA remains well below its recent peak.</x:v>
      </x:c>
    </x:row>
    <x:row r="44">
      <x:c r="A44" s="32" t="n">
        <x:v>44316</x:v>
      </x:c>
      <x:c r="B44" s="33" t="n">
        <x:v>0.6732</x:v>
      </x:c>
      <x:c r="C44" s="40" t="n">
        <x:f>IFERROR((1+B44)/(1+B43)-1,"")</x:f>
        <x:v>-0.03394919168591226</x:v>
      </x:c>
      <x:c r="D44" s="40" t="n">
        <x:f>IFERROR((1+B44)/(1+B41)-1,"")</x:f>
        <x:v>0.04490101792293766</x:v>
      </x:c>
      <x:c r="E44" s="40" t="n">
        <x:f>IFERROR((1+B44)/(1+B38)-1,"")</x:f>
        <x:v>0.6020681731137496</x:v>
      </x:c>
      <x:c r="F44" s="36" t="n">
        <x:v>3.903772177253556</x:v>
      </x:c>
      <x:c r="G44" s="40" t="n">
        <x:f>IFERROR(F44/F41-1,"")</x:f>
        <x:v>-0.22349796391704135</x:v>
      </x:c>
      <x:c r="H44" s="38" t="n">
        <x:v>23247.82700105015</x:v>
      </x:c>
      <x:c r="I44" s="40" t="n">
        <x:f>IFERROR(H44/H43-1,"")</x:f>
        <x:v>0.0973032959288056</x:v>
      </x:c>
      <x:c r="J44" s="40" t="n">
        <x:f>IFERROR(H44/H41-1,"")</x:f>
        <x:v>0.2866432365497307</x:v>
      </x:c>
      <x:c r="K44" s="40" t="n">
        <x:f>IFERROR(H44/H38-1,"")</x:f>
        <x:v>0.5699017138221332</x:v>
      </x:c>
      <x:c r="L44" s="40" t="n">
        <x:f>IFERROR(J44-J43,"")</x:f>
        <x:v>-0.052234764690766156</x:v>
      </x:c>
      <x:c r="M44" s="40" t="n">
        <x:f>IFERROR(J44-D44,"")</x:f>
        <x:v>0.24174221862679302</x:v>
      </x:c>
      <x:c r="N44" s="42" t="str">
        <x:f>IF(J44&lt;0,IF(D44&lt;0,"Down-cycle","Price up / earnings down"),IF(AND(J44&gt;0,L44&lt;0,M44&lt;-0.15),"Late-cycle warning",IF(AND(J44&gt;0,M44&gt;0),"Earnings-led expansion",IF(AND(J44&gt;0,D44&lt;0),"Potential dislocation",IF(AND(J44&gt;0,M44&lt;0),"Price ahead / rerating","Neutral")))))</x:f>
        <x:v>Earnings-led expansion</x:v>
      </x:c>
      <x:c r="O44" s="40" t="n">
        <x:v>0.06649015197596042</x:v>
      </x:c>
      <x:c r="P44" s="40" t="n">
        <x:v>0.8529411764705882</x:v>
      </x:c>
      <x:c r="Q44" s="40" t="n">
        <x:v>0.6307692307692307</x:v>
      </x:c>
      <x:c r="R44" s="40" t="n">
        <x:v>0.5070422535211268</x:v>
      </x:c>
      <x:c r="S44" s="40" t="n">
        <x:v>0.49295774647887325</x:v>
      </x:c>
      <x:c r="T44" s="40" t="n">
        <x:v>0.5441176470588235</x:v>
      </x:c>
      <x:c r="U44" s="40" t="n">
        <x:v>0.7568676603384998</x:v>
      </x:c>
      <x:c r="V44" s="40" t="n">
        <x:v>0.663636798164553</x:v>
      </x:c>
      <x:c r="W44" s="64" t="str">
        <x:v>Stage 7 – Earnings Acceleration</x:v>
      </x:c>
      <x:c r="X44" s="64" t="str">
        <x:v>Rev3M +28.7%; Accel3M +6.6ppt; Stock3M +4.5%; EV/EBITDA 3.9x (51th pct); PeakRatio36M 76%; Multiple3M -22.3%; Earnings-Price Gap +24.2%; CycleHeat 66%. EBITDA revision strength is in a high historical percentile and revision momentum is still accelerating.</x:v>
      </x:c>
    </x:row>
    <x:row r="45">
      <x:c r="A45" s="32" t="n">
        <x:v>44347</x:v>
      </x:c>
      <x:c r="B45" s="33" t="n">
        <x:v>0.6601</x:v>
      </x:c>
      <x:c r="C45" s="40" t="n">
        <x:f>IFERROR((1+B45)/(1+B44)-1,"")</x:f>
        <x:v>-0.007829309108295601</x:v>
      </x:c>
      <x:c r="D45" s="40" t="n">
        <x:f>IFERROR((1+B45)/(1+B42)-1,"")</x:f>
        <x:v>-0.10250310861220735</x:v>
      </x:c>
      <x:c r="E45" s="40" t="n">
        <x:f>IFERROR((1+B45)/(1+B39)-1,"")</x:f>
        <x:v>0.3025500196155355</x:v>
      </x:c>
      <x:c r="F45" s="36" t="n">
        <x:v>3.458155036613678</x:v>
      </x:c>
      <x:c r="G45" s="40" t="n">
        <x:f>IFERROR(F45/F42-1,"")</x:f>
        <x:v>-0.3085014242098545</x:v>
      </x:c>
      <x:c r="H45" s="38" t="n">
        <x:v>26900.036425158112</x:v>
      </x:c>
      <x:c r="I45" s="40" t="n">
        <x:f>IFERROR(H45/H44-1,"")</x:f>
        <x:v>0.15709895913897598</x:v>
      </x:c>
      <x:c r="J45" s="40" t="n">
        <x:f>IFERROR(H45/H42-1,"")</x:f>
        <x:v>0.2696885015789887</x:v>
      </x:c>
      <x:c r="K45" s="40" t="n">
        <x:f>IFERROR(H45/H39-1,"")</x:f>
        <x:v>0.7456617743741947</x:v>
      </x:c>
      <x:c r="L45" s="40" t="n">
        <x:f>IFERROR(J45-J44,"")</x:f>
        <x:v>-0.016954734970741958</x:v>
      </x:c>
      <x:c r="M45" s="40" t="n">
        <x:f>IFERROR(J45-D45,"")</x:f>
        <x:v>0.37219161019119607</x:v>
      </x:c>
      <x:c r="N45" s="42" t="str">
        <x:f>IF(J45&lt;0,IF(D45&lt;0,"Down-cycle","Price up / earnings down"),IF(AND(J45&gt;0,L45&lt;0,M45&lt;-0.15),"Late-cycle warning",IF(AND(J45&gt;0,M45&gt;0),"Earnings-led expansion",IF(AND(J45&gt;0,D45&lt;0),"Potential dislocation",IF(AND(J45&gt;0,M45&lt;0),"Price ahead / rerating","Neutral")))))</x:f>
        <x:v>Earnings-led expansion</x:v>
      </x:c>
      <x:c r="O45" s="40" t="n">
        <x:v>-0.10518554997246188</x:v>
      </x:c>
      <x:c r="P45" s="40" t="n">
        <x:v>0.8308823529411765</x:v>
      </x:c>
      <x:c r="Q45" s="40" t="n">
        <x:v>0.36923076923076925</x:v>
      </x:c>
      <x:c r="R45" s="40" t="n">
        <x:v>0.3873239436619718</x:v>
      </x:c>
      <x:c r="S45" s="40" t="n">
        <x:v>0.6126760563380282</x:v>
      </x:c>
      <x:c r="T45" s="40" t="n">
        <x:v>0.23529411764705882</x:v>
      </x:c>
      <x:c r="U45" s="40" t="n">
        <x:v>0.8757707819836301</x:v>
      </x:c>
      <x:c r="V45" s="40" t="n">
        <x:v>0.5527105506341214</x:v>
      </x:c>
      <x:c r="W45" s="64" t="str">
        <x:v>Stage 10 – Price-Led Roll-over</x:v>
      </x:c>
      <x:c r="X45" s="64" t="str">
        <x:v>Rev3M +27.0%; Accel3M -10.5ppt; Stock3M -10.3%; EV/EBITDA 3.5x (39th pct); PeakRatio36M 88%; Multiple3M -30.9%; Earnings-Price Gap +37.2%; CycleHeat 55%. The stock has turned negative before forward EBITDA revisions have turned negative; price may be leading a future earnings slowdown.</x:v>
      </x:c>
    </x:row>
    <x:row r="46">
      <x:c r="A46" s="32" t="n">
        <x:v>44377</x:v>
      </x:c>
      <x:c r="B46" s="33" t="n">
        <x:v>0.6667</x:v>
      </x:c>
      <x:c r="C46" s="40" t="n">
        <x:f>IFERROR((1+B46)/(1+B45)-1,"")</x:f>
        <x:v>0.003975664116619537</x:v>
      </x:c>
      <x:c r="D46" s="40" t="n">
        <x:f>IFERROR((1+B46)/(1+B43)-1,"")</x:f>
        <x:v>-0.03770207852193985</x:v>
      </x:c>
      <x:c r="E46" s="40" t="n">
        <x:f>IFERROR((1+B46)/(1+B40)-1,"")</x:f>
        <x:v>0.07598450613298913</x:v>
      </x:c>
      <x:c r="F46" s="36" t="n">
        <x:v>3.5318255431310197</x:v>
      </x:c>
      <x:c r="G46" s="40" t="n">
        <x:f>IFERROR(F46/F43-1,"")</x:f>
        <x:v>-0.2633594188045255</x:v>
      </x:c>
      <x:c r="H46" s="38" t="n">
        <x:v>26900.036425158112</x:v>
      </x:c>
      <x:c r="I46" s="40" t="n">
        <x:f>IFERROR(H46/H45-1,"")</x:f>
        <x:v>0</x:v>
      </x:c>
      <x:c r="J46" s="40" t="n">
        <x:f>IFERROR(H46/H43-1,"")</x:f>
        <x:v>0.2696885015789887</x:v>
      </x:c>
      <x:c r="K46" s="40" t="n">
        <x:f>IFERROR(H46/H40-1,"")</x:f>
        <x:v>0.6999580031921178</x:v>
      </x:c>
      <x:c r="L46" s="40" t="n">
        <x:f>IFERROR(J46-J45,"")</x:f>
        <x:v>0</x:v>
      </x:c>
      <x:c r="M46" s="40" t="n">
        <x:f>IFERROR(J46-D46,"")</x:f>
        <x:v>0.30739058010092857</x:v>
      </x:c>
      <x:c r="N46" s="42" t="str">
        <x:f>IF(J46&lt;0,IF(D46&lt;0,"Down-cycle","Price up / earnings down"),IF(AND(J46&gt;0,L46&lt;0,M46&lt;-0.15),"Late-cycle warning",IF(AND(J46&gt;0,M46&gt;0),"Earnings-led expansion",IF(AND(J46&gt;0,D46&lt;0),"Potential dislocation",IF(AND(J46&gt;0,M46&lt;0),"Price ahead / rerating","Neutral")))))</x:f>
        <x:v>Earnings-led expansion</x:v>
      </x:c>
      <x:c r="O46" s="40" t="n">
        <x:v>-0.06918949966150811</x:v>
      </x:c>
      <x:c r="P46" s="40" t="n">
        <x:v>0.8308823529411765</x:v>
      </x:c>
      <x:c r="Q46" s="40" t="n">
        <x:v>0.4461538461538462</x:v>
      </x:c>
      <x:c r="R46" s="40" t="n">
        <x:v>0.4154929577464789</x:v>
      </x:c>
      <x:c r="S46" s="40" t="n">
        <x:v>0.5845070422535211</x:v>
      </x:c>
      <x:c r="T46" s="40" t="n">
        <x:v>0.39705882352941174</x:v>
      </x:c>
      <x:c r="U46" s="40" t="n">
        <x:v>0.8757707819836301</x:v>
      </x:c>
      <x:c r="V46" s="40" t="n">
        <x:v>0.5986604582244599</x:v>
      </x:c>
      <x:c r="W46" s="64" t="str">
        <x:v>Stage 10 – Price-Led Roll-over</x:v>
      </x:c>
      <x:c r="X46" s="64" t="str">
        <x:v>Rev3M +27.0%; Accel3M -6.9ppt; Stock3M -3.8%; EV/EBITDA 3.5x (42th pct); PeakRatio36M 88%; Multiple3M -26.3%; Earnings-Price Gap +30.7%; CycleHeat 60%. The stock has turned negative before forward EBITDA revisions have turned negative; price may be leading a future earnings slowdown.</x:v>
      </x:c>
    </x:row>
    <x:row r="47">
      <x:c r="A47" s="32" t="n">
        <x:v>44408</x:v>
      </x:c>
      <x:c r="B47" s="33" t="n">
        <x:v>0.4706</x:v>
      </x:c>
      <x:c r="C47" s="40" t="n">
        <x:f>IFERROR((1+B47)/(1+B46)-1,"")</x:f>
        <x:v>-0.11765764684706304</x:v>
      </x:c>
      <x:c r="D47" s="40" t="n">
        <x:f>IFERROR((1+B47)/(1+B44)-1,"")</x:f>
        <x:v>-0.12108534544585214</x:v>
      </x:c>
      <x:c r="E47" s="40" t="n">
        <x:f>IFERROR((1+B47)/(1+B41)-1,"")</x:f>
        <x:v>-0.08162118278898389</x:v>
      </x:c>
      <x:c r="F47" s="36" t="n">
        <x:v>2.9524570191012836</x:v>
      </x:c>
      <x:c r="G47" s="40" t="n">
        <x:f>IFERROR(F47/F44-1,"")</x:f>
        <x:v>-0.24369125936584668</x:v>
      </x:c>
      <x:c r="H47" s="38" t="n">
        <x:v>27623.25023823842</x:v>
      </x:c>
      <x:c r="I47" s="40" t="n">
        <x:f>IFERROR(H47/H46-1,"")</x:f>
        <x:v>0.026885235456555856</x:v>
      </x:c>
      <x:c r="J47" s="40" t="n">
        <x:f>IFERROR(H47/H44-1,"")</x:f>
        <x:v>0.1882078371019631</x:v>
      </x:c>
      <x:c r="K47" s="40" t="n">
        <x:f>IFERROR(H47/H41-1,"")</x:f>
        <x:v>0.528799577222625</x:v>
      </x:c>
      <x:c r="L47" s="40" t="n">
        <x:f>IFERROR(J47-J46,"")</x:f>
        <x:v>-0.08148066447702562</x:v>
      </x:c>
      <x:c r="M47" s="40" t="n">
        <x:f>IFERROR(J47-D47,"")</x:f>
        <x:v>0.30929318254781524</x:v>
      </x:c>
      <x:c r="N47" s="42" t="str">
        <x:f>IF(J47&lt;0,IF(D47&lt;0,"Down-cycle","Price up / earnings down"),IF(AND(J47&gt;0,L47&lt;0,M47&lt;-0.15),"Late-cycle warning",IF(AND(J47&gt;0,M47&gt;0),"Earnings-led expansion",IF(AND(J47&gt;0,D47&lt;0),"Potential dislocation",IF(AND(J47&gt;0,M47&lt;0),"Price ahead / rerating","Neutral")))))</x:f>
        <x:v>Earnings-led expansion</x:v>
      </x:c>
      <x:c r="O47" s="40" t="n">
        <x:v>-0.09843539944776758</x:v>
      </x:c>
      <x:c r="P47" s="40" t="n">
        <x:v>0.7205882352941176</x:v>
      </x:c>
      <x:c r="Q47" s="40" t="n">
        <x:v>0.4</x:v>
      </x:c>
      <x:c r="R47" s="40" t="n">
        <x:v>0.28169014084507044</x:v>
      </x:c>
      <x:c r="S47" s="40" t="n">
        <x:v>0.7183098591549295</x:v>
      </x:c>
      <x:c r="T47" s="40" t="n">
        <x:v>0.14705882352941177</x:v>
      </x:c>
      <x:c r="U47" s="40" t="n">
        <x:v>0.8993160856632322</x:v>
      </x:c>
      <x:c r="V47" s="40" t="n">
        <x:v>0.5252796188898095</x:v>
      </x:c>
      <x:c r="W47" s="64" t="str">
        <x:v>Stage 10 – Price-Led Roll-over</x:v>
      </x:c>
      <x:c r="X47" s="64" t="str">
        <x:v>Rev3M +18.8%; Accel3M -9.8ppt; Stock3M -12.1%; EV/EBITDA 3.0x (28th pct); PeakRatio36M 90%; Multiple3M -24.4%; Earnings-Price Gap +30.9%; CycleHeat 53%. The stock has turned negative before forward EBITDA revisions have turned negative; price may be leading a future earnings slowdown.</x:v>
      </x:c>
    </x:row>
    <x:row r="48">
      <x:c r="A48" s="32" t="n">
        <x:v>44439</x:v>
      </x:c>
      <x:c r="B48" s="33" t="n">
        <x:v>0.3922</x:v>
      </x:c>
      <x:c r="C48" s="40" t="n">
        <x:f>IFERROR((1+B48)/(1+B47)-1,"")</x:f>
        <x:v>-0.05331157350741211</x:v>
      </x:c>
      <x:c r="D48" s="40" t="n">
        <x:f>IFERROR((1+B48)/(1+B45)-1,"")</x:f>
        <x:v>-0.16137582073369072</x:v>
      </x:c>
      <x:c r="E48" s="40" t="n">
        <x:f>IFERROR((1+B48)/(1+B42)-1,"")</x:f>
        <x:v>-0.24733740606584853</x:v>
      </x:c>
      <x:c r="F48" s="36" t="n">
        <x:v>2.699452900780029</x:v>
      </x:c>
      <x:c r="G48" s="40" t="n">
        <x:f>IFERROR(F48/F45-1,"")</x:f>
        <x:v>-0.21939506118169616</x:v>
      </x:c>
      <x:c r="H48" s="38" t="n">
        <x:v>29128.531935782077</x:v>
      </x:c>
      <x:c r="I48" s="40" t="n">
        <x:f>IFERROR(H48/H47-1,"")</x:f>
        <x:v>0.054493286798666496</x:v>
      </x:c>
      <x:c r="J48" s="40" t="n">
        <x:f>IFERROR(H48/H45-1,"")</x:f>
        <x:v>0.08284358710160622</x:v>
      </x:c>
      <x:c r="K48" s="40" t="n">
        <x:f>IFERROR(H48/H42-1,"")</x:f>
        <x:v>0.3748740515514557</x:v>
      </x:c>
      <x:c r="L48" s="40" t="n">
        <x:f>IFERROR(J48-J47,"")</x:f>
        <x:v>-0.10536425000035687</x:v>
      </x:c>
      <x:c r="M48" s="40" t="n">
        <x:f>IFERROR(J48-D48,"")</x:f>
        <x:v>0.24421940783529694</x:v>
      </x:c>
      <x:c r="N48" s="42" t="str">
        <x:f>IF(J48&lt;0,IF(D48&lt;0,"Down-cycle","Price up / earnings down"),IF(AND(J48&gt;0,L48&lt;0,M48&lt;-0.15),"Late-cycle warning",IF(AND(J48&gt;0,M48&gt;0),"Earnings-led expansion",IF(AND(J48&gt;0,D48&lt;0),"Potential dislocation",IF(AND(J48&gt;0,M48&lt;0),"Price ahead / rerating","Neutral")))))</x:f>
        <x:v>Earnings-led expansion</x:v>
      </x:c>
      <x:c r="O48" s="40" t="n">
        <x:v>-0.1868449144773825</x:v>
      </x:c>
      <x:c r="P48" s="40" t="n">
        <x:v>0.6029411764705882</x:v>
      </x:c>
      <x:c r="Q48" s="40" t="n">
        <x:v>0.18461538461538463</x:v>
      </x:c>
      <x:c r="R48" s="40" t="n">
        <x:v>0.23943661971830985</x:v>
      </x:c>
      <x:c r="S48" s="40" t="n">
        <x:v>0.7605633802816901</x:v>
      </x:c>
      <x:c r="T48" s="40" t="n">
        <x:v>0.07352941176470588</x:v>
      </x:c>
      <x:c r="U48" s="40" t="n">
        <x:v>0.9738186561377498</x:v>
      </x:c>
      <x:c r="V48" s="40" t="n">
        <x:v>0.42400181632783124</x:v>
      </x:c>
      <x:c r="W48" s="64" t="str">
        <x:v>Stage 10 – Price-Led Roll-over</x:v>
      </x:c>
      <x:c r="X48" s="64" t="str">
        <x:v>Rev3M +8.3%; Accel3M -18.7ppt; Stock3M -16.1%; EV/EBITDA 2.7x (24th pct); PeakRatio36M 97%; Multiple3M -21.9%; Earnings-Price Gap +24.4%; CycleHeat 42%. The stock has turned negative before forward EBITDA revisions have turned negative; price may be leading a future earnings slowdown.</x:v>
      </x:c>
    </x:row>
    <x:row r="49">
      <x:c r="A49" s="32" t="n">
        <x:v>44469</x:v>
      </x:c>
      <x:c r="B49" s="33" t="n">
        <x:v>0.3464</x:v>
      </x:c>
      <x:c r="C49" s="40" t="n">
        <x:f>IFERROR((1+B49)/(1+B48)-1,"")</x:f>
        <x:v>-0.0328975721879039</x:v>
      </x:c>
      <x:c r="D49" s="40" t="n">
        <x:f>IFERROR((1+B49)/(1+B46)-1,"")</x:f>
        <x:v>-0.19217615647687047</x:v>
      </x:c>
      <x:c r="E49" s="40" t="n">
        <x:f>IFERROR((1+B49)/(1+B43)-1,"")</x:f>
        <x:v>-0.2226327944572748</x:v>
      </x:c>
      <x:c r="F49" s="36" t="n">
        <x:v>2.8455270144959766</x:v>
      </x:c>
      <x:c r="G49" s="40" t="n">
        <x:f>IFERROR(F49/F46-1,"")</x:f>
        <x:v>-0.19431835470180914</x:v>
      </x:c>
      <x:c r="H49" s="38" t="n">
        <x:v>28365.907824968825</x:v>
      </x:c>
      <x:c r="I49" s="40" t="n">
        <x:f>IFERROR(H49/H48-1,"")</x:f>
        <x:v>-0.02618134386225035</x:v>
      </x:c>
      <x:c r="J49" s="40" t="n">
        <x:f>IFERROR(H49/H46-1,"")</x:f>
        <x:v>0.054493286798666274</x:v>
      </x:c>
      <x:c r="K49" s="40" t="n">
        <x:f>IFERROR(H49/H43-1,"")</x:f>
        <x:v>0.3388780012405015</x:v>
      </x:c>
      <x:c r="L49" s="40" t="n">
        <x:f>IFERROR(J49-J48,"")</x:f>
        <x:v>-0.028350300302939946</x:v>
      </x:c>
      <x:c r="M49" s="40" t="n">
        <x:f>IFERROR(J49-D49,"")</x:f>
        <x:v>0.24666944327553675</x:v>
      </x:c>
      <x:c r="N49" s="42" t="str">
        <x:f>IF(J49&lt;0,IF(D49&lt;0,"Down-cycle","Price up / earnings down"),IF(AND(J49&gt;0,L49&lt;0,M49&lt;-0.15),"Late-cycle warning",IF(AND(J49&gt;0,M49&gt;0),"Earnings-led expansion",IF(AND(J49&gt;0,D49&lt;0),"Potential dislocation",IF(AND(J49&gt;0,M49&lt;0),"Price ahead / rerating","Neutral")))))</x:f>
        <x:v>Earnings-led expansion</x:v>
      </x:c>
      <x:c r="O49" s="40" t="n">
        <x:v>-0.21519521478032244</x:v>
      </x:c>
      <x:c r="P49" s="40" t="n">
        <x:v>0.4852941176470588</x:v>
      </x:c>
      <x:c r="Q49" s="40" t="n">
        <x:v>0.13846153846153847</x:v>
      </x:c>
      <x:c r="R49" s="40" t="n">
        <x:v>0.2535211267605634</x:v>
      </x:c>
      <x:c r="S49" s="40" t="n">
        <x:v>0.7464788732394366</x:v>
      </x:c>
      <x:c r="T49" s="40" t="n">
        <x:v>0.029411764705882353</x:v>
      </x:c>
      <x:c r="U49" s="40" t="n">
        <x:v>0.9738186561377496</x:v>
      </x:c>
      <x:c r="V49" s="40" t="n">
        <x:v>0.35964645338091894</x:v>
      </x:c>
      <x:c r="W49" s="64" t="str">
        <x:v>Stage 10 – Price-Led Roll-over</x:v>
      </x:c>
      <x:c r="X49" s="64" t="str">
        <x:v>Rev3M +5.4%; Accel3M -21.5ppt; Stock3M -19.2%; EV/EBITDA 2.8x (25th pct); PeakRatio36M 97%; Multiple3M -19.4%; Earnings-Price Gap +24.7%; CycleHeat 36%. The stock has turned negative before forward EBITDA revisions have turned negative; price may be leading a future earnings slowdown.</x:v>
      </x:c>
    </x:row>
    <x:row r="50">
      <x:c r="A50" s="32" t="n">
        <x:v>44500</x:v>
      </x:c>
      <x:c r="B50" s="33" t="n">
        <x:v>0.3464</x:v>
      </x:c>
      <x:c r="C50" s="40" t="n">
        <x:f>IFERROR((1+B50)/(1+B49)-1,"")</x:f>
        <x:v>0</x:v>
      </x:c>
      <x:c r="D50" s="40" t="n">
        <x:f>IFERROR((1+B50)/(1+B47)-1,"")</x:f>
        <x:v>-0.08445532435740521</x:v>
      </x:c>
      <x:c r="E50" s="40" t="n">
        <x:f>IFERROR((1+B50)/(1+B44)-1,"")</x:f>
        <x:v>-0.19531436767869947</x:v>
      </x:c>
      <x:c r="F50" s="36" t="n">
        <x:v>3.0795917738255585</x:v>
      </x:c>
      <x:c r="G50" s="40" t="n">
        <x:f>IFERROR(F50/F47-1,"")</x:f>
        <x:v>0.043060662323536336</x:v>
      </x:c>
      <x:c r="H50" s="38" t="n">
        <x:v>26195.75732160399</x:v>
      </x:c>
      <x:c r="I50" s="40" t="n">
        <x:f>IFERROR(H50/H49-1,"")</x:f>
        <x:v>-0.07650558962384346</x:v>
      </x:c>
      <x:c r="J50" s="40" t="n">
        <x:f>IFERROR(H50/H47-1,"")</x:f>
        <x:v>-0.05167722495806715</x:v>
      </x:c>
      <x:c r="K50" s="40" t="n">
        <x:f>IFERROR(H50/H44-1,"")</x:f>
        <x:v>0.1268045534071065</x:v>
      </x:c>
      <x:c r="L50" s="40" t="n">
        <x:f>IFERROR(J50-J49,"")</x:f>
        <x:v>-0.10617051175673342</x:v>
      </x:c>
      <x:c r="M50" s="40" t="n">
        <x:f>IFERROR(J50-D50,"")</x:f>
        <x:v>0.03277809939933807</x:v>
      </x:c>
      <x:c r="N50" s="42" t="str">
        <x:f>IF(J50&lt;0,IF(D50&lt;0,"Down-cycle","Price up / earnings down"),IF(AND(J50&gt;0,L50&lt;0,M50&lt;-0.15),"Late-cycle warning",IF(AND(J50&gt;0,M50&gt;0),"Earnings-led expansion",IF(AND(J50&gt;0,D50&lt;0),"Potential dislocation",IF(AND(J50&gt;0,M50&lt;0),"Price ahead / rerating","Neutral")))))</x:f>
        <x:v>Down-cycle</x:v>
      </x:c>
      <x:c r="O50" s="40" t="n">
        <x:v>-0.23988506206003024</x:v>
      </x:c>
      <x:c r="P50" s="40" t="n">
        <x:v>0.38235294117647056</x:v>
      </x:c>
      <x:c r="Q50" s="40" t="n">
        <x:v>0.12307692307692308</x:v>
      </x:c>
      <x:c r="R50" s="40" t="n">
        <x:v>0.29577464788732394</x:v>
      </x:c>
      <x:c r="S50" s="40" t="n">
        <x:v>0.704225352112676</x:v>
      </x:c>
      <x:c r="T50" s="40" t="n">
        <x:v>0.29411764705882354</x:v>
      </x:c>
      <x:c r="U50" s="40" t="n">
        <x:v>0.8993160856632322</x:v>
      </x:c>
      <x:c r="V50" s="40" t="n">
        <x:v>0.3642613600152954</x:v>
      </x:c>
      <x:c r="W50" s="64" t="str">
        <x:v>Stage 12 – Downturn Confirmation</x:v>
      </x:c>
      <x:c r="X50" s="64" t="str">
        <x:v>Rev3M -5.2%; Accel3M -24.0ppt; Stock3M -8.4%; EV/EBITDA 3.1x (30th pct); PeakRatio36M 90%; Multiple3M +4.3%; Earnings-Price Gap +3.3%; CycleHeat 36%. Forward EBITDA, revision momentum, and stock performance are all negative while earnings are still relatively elevated—downcycle is being confirmed.</x:v>
      </x:c>
    </x:row>
    <x:row r="51">
      <x:c r="A51" s="32" t="n">
        <x:v>44530</x:v>
      </x:c>
      <x:c r="B51" s="33" t="n">
        <x:v>0.4902</x:v>
      </x:c>
      <x:c r="C51" s="40" t="n">
        <x:f>IFERROR((1+B51)/(1+B50)-1,"")</x:f>
        <x:v>0.10680332739156273</x:v>
      </x:c>
      <x:c r="D51" s="40" t="n">
        <x:f>IFERROR((1+B51)/(1+B48)-1,"")</x:f>
        <x:v>0.0703921850308864</x:v>
      </x:c>
      <x:c r="E51" s="40" t="n">
        <x:f>IFERROR((1+B51)/(1+B45)-1,"")</x:f>
        <x:v>-0.10234323233540144</x:v>
      </x:c>
      <x:c r="F51" s="36" t="n">
        <x:v>3.2806318820302494</x:v>
      </x:c>
      <x:c r="G51" s="40" t="n">
        <x:f>IFERROR(F51/F48-1,"")</x:f>
        <x:v>0.2152950996412213</x:v>
      </x:c>
      <x:c r="H51" s="38" t="n">
        <x:v>26195.75732160399</x:v>
      </x:c>
      <x:c r="I51" s="40" t="n">
        <x:f>IFERROR(H51/H50-1,"")</x:f>
        <x:v>0</x:v>
      </x:c>
      <x:c r="J51" s="40" t="n">
        <x:f>IFERROR(H51/H48-1,"")</x:f>
        <x:v>-0.10068391433676782</x:v>
      </x:c>
      <x:c r="K51" s="40" t="n">
        <x:f>IFERROR(H51/H45-1,"")</x:f>
        <x:v>-0.02618134386225035</x:v>
      </x:c>
      <x:c r="L51" s="40" t="n">
        <x:f>IFERROR(J51-J50,"")</x:f>
        <x:v>-0.049006689378700674</x:v>
      </x:c>
      <x:c r="M51" s="40" t="n">
        <x:f>IFERROR(J51-D51,"")</x:f>
        <x:v>-0.17107609936765422</x:v>
      </x:c>
      <x:c r="N51" s="42" t="str">
        <x:f>IF(J51&lt;0,IF(D51&lt;0,"Down-cycle","Price up / earnings down"),IF(AND(J51&gt;0,L51&lt;0,M51&lt;-0.15),"Late-cycle warning",IF(AND(J51&gt;0,M51&gt;0),"Earnings-led expansion",IF(AND(J51&gt;0,D51&lt;0),"Potential dislocation",IF(AND(J51&gt;0,M51&lt;0),"Price ahead / rerating","Neutral")))))</x:f>
        <x:v>Price up / earnings down</x:v>
      </x:c>
      <x:c r="O51" s="40" t="n">
        <x:v>-0.18352750143837404</x:v>
      </x:c>
      <x:c r="P51" s="40" t="n">
        <x:v>0.3014705882352941</x:v>
      </x:c>
      <x:c r="Q51" s="40" t="n">
        <x:v>0.2</x:v>
      </x:c>
      <x:c r="R51" s="40" t="n">
        <x:v>0.36619718309859156</x:v>
      </x:c>
      <x:c r="S51" s="40" t="n">
        <x:v>0.6338028169014085</x:v>
      </x:c>
      <x:c r="T51" s="40" t="n">
        <x:v>0.6470588235294118</x:v>
      </x:c>
      <x:c r="U51" s="40" t="n">
        <x:v>0.8993160856632322</x:v>
      </x:c>
      <x:c r="V51" s="40" t="n">
        <x:v>0.411687033968517</x:v>
      </x:c>
      <x:c r="W51" s="64" t="str">
        <x:v>Stage 13 – Mixed / Transition</x:v>
      </x:c>
      <x:c r="X51" s="64" t="str">
        <x:v>Rev3M -10.1%; Accel3M -18.4ppt; Stock3M +7.0%; EV/EBITDA 3.3x (37th pct); PeakRatio36M 90%; Multiple3M +21.5%; Earnings-Price Gap -17.1%; CycleHeat 41%. Signals do not fit one dominant state; treat as a transition and require confirmation from the next 1–3 monthly observations.</x:v>
      </x:c>
    </x:row>
    <x:row r="52">
      <x:c r="A52" s="32" t="n">
        <x:v>44561</x:v>
      </x:c>
      <x:c r="B52" s="33" t="n">
        <x:v>0.7124</x:v>
      </x:c>
      <x:c r="C52" s="40" t="n">
        <x:f>IFERROR((1+B52)/(1+B51)-1,"")</x:f>
        <x:v>0.1491075023486781</x:v>
      </x:c>
      <x:c r="D52" s="40" t="n">
        <x:f>IFERROR((1+B52)/(1+B49)-1,"")</x:f>
        <x:v>0.2718360071301249</x:v>
      </x:c>
      <x:c r="E52" s="40" t="n">
        <x:f>IFERROR((1+B52)/(1+B46)-1,"")</x:f>
        <x:v>0.027419451610967815</x:v>
      </x:c>
      <x:c r="F52" s="36" t="n">
        <x:v>3.6070654829077324</x:v>
      </x:c>
      <x:c r="G52" s="40" t="n">
        <x:f>IFERROR(F52/F49-1,"")</x:f>
        <x:v>0.26762651155032025</x:v>
      </x:c>
      <x:c r="H52" s="38" t="n">
        <x:v>25509.91719143501</x:v>
      </x:c>
      <x:c r="I52" s="40" t="n">
        <x:f>IFERROR(H52/H51-1,"")</x:f>
        <x:v>-0.02618134386225035</x:v>
      </x:c>
      <x:c r="J52" s="40" t="n">
        <x:f>IFERROR(H52/H49-1,"")</x:f>
        <x:v>-0.10068391433676782</x:v>
      </x:c>
      <x:c r="K52" s="40" t="n">
        <x:f>IFERROR(H52/H46-1,"")</x:f>
        <x:v>-0.05167722495806726</x:v>
      </x:c>
      <x:c r="L52" s="40" t="n">
        <x:f>IFERROR(J52-J51,"")</x:f>
        <x:v>0</x:v>
      </x:c>
      <x:c r="M52" s="40" t="n">
        <x:f>IFERROR(J52-D52,"")</x:f>
        <x:v>-0.3725199214668927</x:v>
      </x:c>
      <x:c r="N52" s="42" t="str">
        <x:f>IF(J52&lt;0,IF(D52&lt;0,"Down-cycle","Price up / earnings down"),IF(AND(J52&gt;0,L52&lt;0,M52&lt;-0.15),"Late-cycle warning",IF(AND(J52&gt;0,M52&gt;0),"Earnings-led expansion",IF(AND(J52&gt;0,D52&lt;0),"Potential dislocation",IF(AND(J52&gt;0,M52&lt;0),"Price ahead / rerating","Neutral")))))</x:f>
        <x:v>Price up / earnings down</x:v>
      </x:c>
      <x:c r="O52" s="40" t="n">
        <x:v>-0.1551772011354341</x:v>
      </x:c>
      <x:c r="P52" s="40" t="n">
        <x:v>0.3014705882352941</x:v>
      </x:c>
      <x:c r="Q52" s="40" t="n">
        <x:v>0.27692307692307694</x:v>
      </x:c>
      <x:c r="R52" s="40" t="n">
        <x:v>0.4507042253521127</x:v>
      </x:c>
      <x:c r="S52" s="40" t="n">
        <x:v>0.5492957746478873</x:v>
      </x:c>
      <x:c r="T52" s="40" t="n">
        <x:v>0.9117647058823529</x:v>
      </x:c>
      <x:c r="U52" s="40" t="n">
        <x:v>0.8757707819836301</x:v>
      </x:c>
      <x:c r="V52" s="40" t="n">
        <x:v>0.46695757121917025</x:v>
      </x:c>
      <x:c r="W52" s="64" t="str">
        <x:v>Stage 13 – Mixed / Transition</x:v>
      </x:c>
      <x:c r="X52" s="64" t="str">
        <x:v>Rev3M -10.1%; Accel3M -15.5ppt; Stock3M +27.2%; EV/EBITDA 3.6x (45th pct); PeakRatio36M 88%; Multiple3M +26.8%; Earnings-Price Gap -37.3%; CycleHeat 47%. Signals do not fit one dominant state; treat as a transition and require confirmation from the next 1–3 monthly observations.</x:v>
      </x:c>
    </x:row>
    <x:row r="53">
      <x:c r="A53" s="32" t="n">
        <x:v>44592</x:v>
      </x:c>
      <x:c r="B53" s="33" t="n">
        <x:v>0.5752</x:v>
      </x:c>
      <x:c r="C53" s="40" t="n">
        <x:f>IFERROR((1+B53)/(1+B52)-1,"")</x:f>
        <x:v>-0.08012146694697497</x:v>
      </x:c>
      <x:c r="D53" s="40" t="n">
        <x:f>IFERROR((1+B53)/(1+B50)-1,"")</x:f>
        <x:v>0.16993464052287588</x:v>
      </x:c>
      <x:c r="E53" s="40" t="n">
        <x:f>IFERROR((1+B53)/(1+B47)-1,"")</x:f>
        <x:v>0.07112743098055208</x:v>
      </x:c>
      <x:c r="F53" s="36" t="n">
        <x:v>3.2122010352925985</x:v>
      </x:c>
      <x:c r="G53" s="40" t="n">
        <x:f>IFERROR(F53/F50-1,"")</x:f>
        <x:v>0.04306066232353545</x:v>
      </x:c>
      <x:c r="H53" s="38" t="n">
        <x:v>26900.036425158112</x:v>
      </x:c>
      <x:c r="I53" s="40" t="n">
        <x:f>IFERROR(H53/H52-1,"")</x:f>
        <x:v>0.054493286798666496</x:v>
      </x:c>
      <x:c r="J53" s="40" t="n">
        <x:f>IFERROR(H53/H50-1,"")</x:f>
        <x:v>0.026885235456555856</x:v>
      </x:c>
      <x:c r="K53" s="40" t="n">
        <x:f>IFERROR(H53/H47-1,"")</x:f>
        <x:v>-0.02618134386225024</x:v>
      </x:c>
      <x:c r="L53" s="40" t="n">
        <x:f>IFERROR(J53-J52,"")</x:f>
        <x:v>0.12756914979332368</x:v>
      </x:c>
      <x:c r="M53" s="40" t="n">
        <x:f>IFERROR(J53-D53,"")</x:f>
        <x:v>-0.14304940506632002</x:v>
      </x:c>
      <x:c r="N53" s="42" t="str">
        <x:f>IF(J53&lt;0,IF(D53&lt;0,"Down-cycle","Price up / earnings down"),IF(AND(J53&gt;0,L53&lt;0,M53&lt;-0.15),"Late-cycle warning",IF(AND(J53&gt;0,M53&gt;0),"Earnings-led expansion",IF(AND(J53&gt;0,D53&lt;0),"Potential dislocation",IF(AND(J53&gt;0,M53&lt;0),"Price ahead / rerating","Neutral")))))</x:f>
        <x:v>Price ahead / rerating</x:v>
      </x:c>
      <x:c r="O53" s="40" t="n">
        <x:v>0.078562460414623</x:v>
      </x:c>
      <x:c r="P53" s="40" t="n">
        <x:v>0.4632352941176471</x:v>
      </x:c>
      <x:c r="Q53" s="40" t="n">
        <x:v>0.6615384615384615</x:v>
      </x:c>
      <x:c r="R53" s="40" t="n">
        <x:v>0.352112676056338</x:v>
      </x:c>
      <x:c r="S53" s="40" t="n">
        <x:v>0.647887323943662</x:v>
      </x:c>
      <x:c r="T53" s="40" t="n">
        <x:v>0.7941176470588235</x:v>
      </x:c>
      <x:c r="U53" s="40" t="n">
        <x:v>0.9234944103761564</x:v>
      </x:c>
      <x:c r="V53" s="40" t="n">
        <x:v>0.6159179625262889</x:v>
      </x:c>
      <x:c r="W53" s="64" t="str">
        <x:v>Stage 6 – Broad Recovery</x:v>
      </x:c>
      <x:c r="X53" s="64" t="str">
        <x:v>Rev3M +2.7%; Accel3M +7.9ppt; Stock3M +17.0%; EV/EBITDA 3.2x (35th pct); PeakRatio36M 92%; Multiple3M +4.3%; Earnings-Price Gap -14.3%; CycleHeat 62%. Forward EBITDA revisions are positive and non-decelerating, with earnings recovering toward normal cycle levels.</x:v>
      </x:c>
    </x:row>
    <x:row r="54">
      <x:c r="A54" s="32" t="n">
        <x:v>44620</x:v>
      </x:c>
      <x:c r="B54" s="33" t="n">
        <x:v>0.6144</x:v>
      </x:c>
      <x:c r="C54" s="40" t="n">
        <x:f>IFERROR((1+B54)/(1+B53)-1,"")</x:f>
        <x:v>0.0248857287963431</x:v>
      </x:c>
      <x:c r="D54" s="40" t="n">
        <x:f>IFERROR((1+B54)/(1+B51)-1,"")</x:f>
        <x:v>0.0833445175144274</x:v>
      </x:c>
      <x:c r="E54" s="40" t="n">
        <x:f>IFERROR((1+B54)/(1+B48)-1,"")</x:f>
        <x:v>0.15960350524349942</x:v>
      </x:c>
      <x:c r="F54" s="36" t="n">
        <x:v>3.178522763305339</x:v>
      </x:c>
      <x:c r="G54" s="40" t="n">
        <x:f>IFERROR(F54/F51-1,"")</x:f>
        <x:v>-0.03112483277511746</x:v>
      </x:c>
      <x:c r="H54" s="38" t="n">
        <x:v>29128.531935782077</x:v>
      </x:c>
      <x:c r="I54" s="40" t="n">
        <x:f>IFERROR(H54/H53-1,"")</x:f>
        <x:v>0.08284358710160622</x:v>
      </x:c>
      <x:c r="J54" s="40" t="n">
        <x:f>IFERROR(H54/H51-1,"")</x:f>
        <x:v>0.11195609190345457</x:v>
      </x:c>
      <x:c r="K54" s="40" t="n">
        <x:f>IFERROR(H54/H48-1,"")</x:f>
        <x:v>0</x:v>
      </x:c>
      <x:c r="L54" s="40" t="n">
        <x:f>IFERROR(J54-J53,"")</x:f>
        <x:v>0.08507085644689871</x:v>
      </x:c>
      <x:c r="M54" s="40" t="n">
        <x:f>IFERROR(J54-D54,"")</x:f>
        <x:v>0.028611574389027172</x:v>
      </x:c>
      <x:c r="N54" s="42" t="str">
        <x:f>IF(J54&lt;0,IF(D54&lt;0,"Down-cycle","Price up / earnings down"),IF(AND(J54&gt;0,L54&lt;0,M54&lt;-0.15),"Late-cycle warning",IF(AND(J54&gt;0,M54&gt;0),"Earnings-led expansion",IF(AND(J54&gt;0,D54&lt;0),"Potential dislocation",IF(AND(J54&gt;0,M54&lt;0),"Price ahead / rerating","Neutral")))))</x:f>
        <x:v>Earnings-led expansion</x:v>
      </x:c>
      <x:c r="O54" s="40" t="n">
        <x:v>0.2126400062402224</x:v>
      </x:c>
      <x:c r="P54" s="40" t="n">
        <x:v>0.625</x:v>
      </x:c>
      <x:c r="Q54" s="40" t="n">
        <x:v>0.8</x:v>
      </x:c>
      <x:c r="R54" s="40" t="n">
        <x:v>0.3380281690140845</x:v>
      </x:c>
      <x:c r="S54" s="40" t="n">
        <x:v>0.6619718309859155</x:v>
      </x:c>
      <x:c r="T54" s="40" t="n">
        <x:v>0.6617647058823529</x:v>
      </x:c>
      <x:c r="U54" s="40" t="n">
        <x:v>1</x:v>
      </x:c>
      <x:c r="V54" s="40" t="n">
        <x:v>0.6834973073736537</x:v>
      </x:c>
      <x:c r="W54" s="64" t="str">
        <x:v>Stage 6 – Broad Recovery</x:v>
      </x:c>
      <x:c r="X54" s="64" t="str">
        <x:v>Rev3M +11.2%; Accel3M +21.3ppt; Stock3M +8.3%; EV/EBITDA 3.2x (34th pct); PeakRatio36M 100%; Multiple3M -3.1%; Earnings-Price Gap +2.9%; CycleHeat 68%. Forward EBITDA revisions are positive and non-decelerating, with earnings recovering toward normal cycle levels.</x:v>
      </x:c>
    </x:row>
    <x:row r="55">
      <x:c r="A55" s="32" t="n">
        <x:v>44651</x:v>
      </x:c>
      <x:c r="B55" s="33" t="n">
        <x:v>0.5425</x:v>
      </x:c>
      <x:c r="C55" s="40" t="n">
        <x:f>IFERROR((1+B55)/(1+B54)-1,"")</x:f>
        <x:v>-0.044536669970267506</x:v>
      </x:c>
      <x:c r="D55" s="40" t="n">
        <x:f>IFERROR((1+B55)/(1+B52)-1,"")</x:f>
        <x:v>-0.09921747255314184</x:v>
      </x:c>
      <x:c r="E55" s="40" t="n">
        <x:f>IFERROR((1+B55)/(1+B49)-1,"")</x:f>
        <x:v>0.14564765300059412</x:v>
      </x:c>
      <x:c r="F55" s="36" t="n">
        <x:v>3.1122218152290597</x:v>
      </x:c>
      <x:c r="G55" s="40" t="n">
        <x:f>IFERROR(F55/F52-1,"")</x:f>
        <x:v>-0.13718732582580362</x:v>
      </x:c>
      <x:c r="H55" s="38" t="n">
        <x:v>29911.659375379386</x:v>
      </x:c>
      <x:c r="I55" s="40" t="n">
        <x:f>IFERROR(H55/H54-1,"")</x:f>
        <x:v>0.026885235456555856</x:v>
      </x:c>
      <x:c r="J55" s="40" t="n">
        <x:f>IFERROR(H55/H52-1,"")</x:f>
        <x:v>0.1725502341270737</x:v>
      </x:c>
      <x:c r="K55" s="40" t="n">
        <x:f>IFERROR(H55/H49-1,"")</x:f>
        <x:v>0.054493286798666496</x:v>
      </x:c>
      <x:c r="L55" s="40" t="n">
        <x:f>IFERROR(J55-J54,"")</x:f>
        <x:v>0.06059414222361914</x:v>
      </x:c>
      <x:c r="M55" s="40" t="n">
        <x:f>IFERROR(J55-D55,"")</x:f>
        <x:v>0.27176770668021555</x:v>
      </x:c>
      <x:c r="N55" s="42" t="str">
        <x:f>IF(J55&lt;0,IF(D55&lt;0,"Down-cycle","Price up / earnings down"),IF(AND(J55&gt;0,L55&lt;0,M55&lt;-0.15),"Late-cycle warning",IF(AND(J55&gt;0,M55&gt;0),"Earnings-led expansion",IF(AND(J55&gt;0,D55&lt;0),"Potential dislocation",IF(AND(J55&gt;0,M55&lt;0),"Price ahead / rerating","Neutral")))))</x:f>
        <x:v>Earnings-led expansion</x:v>
      </x:c>
      <x:c r="O55" s="40" t="n">
        <x:v>0.27323414846384153</x:v>
      </x:c>
      <x:c r="P55" s="40" t="n">
        <x:v>0.6838235294117647</x:v>
      </x:c>
      <x:c r="Q55" s="40" t="n">
        <x:v>0.8461538461538461</x:v>
      </x:c>
      <x:c r="R55" s="40" t="n">
        <x:v>0.30985915492957744</x:v>
      </x:c>
      <x:c r="S55" s="40" t="n">
        <x:v>0.6901408450704225</x:v>
      </x:c>
      <x:c r="T55" s="40" t="n">
        <x:v>0.25</x:v>
      </x:c>
      <x:c r="U55" s="40" t="n">
        <x:v>1</x:v>
      </x:c>
      <x:c r="V55" s="40" t="n">
        <x:v>0.6389048658466637</x:v>
      </x:c>
      <x:c r="W55" s="64" t="str">
        <x:v>Stage 6 – Broad Recovery</x:v>
      </x:c>
      <x:c r="X55" s="64" t="str">
        <x:v>Rev3M +17.3%; Accel3M +27.3ppt; Stock3M -9.9%; EV/EBITDA 3.1x (31th pct); PeakRatio36M 100%; Multiple3M -13.7%; Earnings-Price Gap +27.2%; CycleHeat 64%. Forward EBITDA revisions are positive and non-decelerating, with earnings recovering toward normal cycle levels.</x:v>
      </x:c>
    </x:row>
    <x:row r="56">
      <x:c r="A56" s="32" t="n">
        <x:v>44681</x:v>
      </x:c>
      <x:c r="B56" s="33" t="n">
        <x:v>0.4706</x:v>
      </x:c>
      <x:c r="C56" s="40" t="n">
        <x:f>IFERROR((1+B56)/(1+B55)-1,"")</x:f>
        <x:v>-0.046612641815234945</x:v>
      </x:c>
      <x:c r="D56" s="40" t="n">
        <x:f>IFERROR((1+B56)/(1+B53)-1,"")</x:f>
        <x:v>-0.06640426612493655</x:v>
      </x:c>
      <x:c r="E56" s="40" t="n">
        <x:f>IFERROR((1+B56)/(1+B50)-1,"")</x:f>
        <x:v>0.09224598930481287</x:v>
      </x:c>
      <x:c r="F56" s="36" t="n">
        <x:v>2.520708978443135</x:v>
      </x:c>
      <x:c r="G56" s="40" t="n">
        <x:f>IFERROR(F56/F53-1,"")</x:f>
        <x:v>-0.21527047941645272</x:v>
      </x:c>
      <x:c r="H56" s="38" t="n">
        <x:v>35072.92320373026</x:v>
      </x:c>
      <x:c r="I56" s="40" t="n">
        <x:f>IFERROR(H56/H55-1,"")</x:f>
        <x:v>0.1725502341270697</x:v>
      </x:c>
      <x:c r="J56" s="40" t="n">
        <x:f>IFERROR(H56/H53-1,"")</x:f>
        <x:v>0.3038243759004169</x:v>
      </x:c>
      <x:c r="K56" s="40" t="n">
        <x:f>IFERROR(H56/H50-1,"")</x:f>
        <x:v>0.33887800124049683</x:v>
      </x:c>
      <x:c r="L56" s="40" t="n">
        <x:f>IFERROR(J56-J55,"")</x:f>
        <x:v>0.13127414177334318</x:v>
      </x:c>
      <x:c r="M56" s="40" t="n">
        <x:f>IFERROR(J56-D56,"")</x:f>
        <x:v>0.37022864202535344</x:v>
      </x:c>
      <x:c r="N56" s="42" t="str">
        <x:f>IF(J56&lt;0,IF(D56&lt;0,"Down-cycle","Price up / earnings down"),IF(AND(J56&gt;0,L56&lt;0,M56&lt;-0.15),"Late-cycle warning",IF(AND(J56&gt;0,M56&gt;0),"Earnings-led expansion",IF(AND(J56&gt;0,D56&lt;0),"Potential dislocation",IF(AND(J56&gt;0,M56&lt;0),"Price ahead / rerating","Neutral")))))</x:f>
        <x:v>Earnings-led expansion</x:v>
      </x:c>
      <x:c r="O56" s="40" t="n">
        <x:v>0.27693914044386103</x:v>
      </x:c>
      <x:c r="P56" s="40" t="n">
        <x:v>0.8676470588235294</x:v>
      </x:c>
      <x:c r="Q56" s="40" t="n">
        <x:v>0.8615384615384616</x:v>
      </x:c>
      <x:c r="R56" s="40" t="n">
        <x:v>0.2112676056338028</x:v>
      </x:c>
      <x:c r="S56" s="40" t="n">
        <x:v>0.7887323943661972</x:v>
      </x:c>
      <x:c r="T56" s="40" t="n">
        <x:v>0.35294117647058826</x:v>
      </x:c>
      <x:c r="U56" s="40" t="n">
        <x:v>1</x:v>
      </x:c>
      <x:c r="V56" s="40" t="n">
        <x:v>0.7473958001402077</x:v>
      </x:c>
      <x:c r="W56" s="64" t="str">
        <x:v>Stage 8 – High-Cycle Expansion</x:v>
      </x:c>
      <x:c r="X56" s="64" t="str">
        <x:v>Rev3M +30.4%; Accel3M +27.7ppt; Stock3M -6.6%; EV/EBITDA 2.5x (21th pct); PeakRatio36M 100%; Multiple3M -21.5%; Earnings-Price Gap +37.0%; CycleHeat 75%. Forward EBITDA is near a 36M high, revisions remain positive, and EV/EBITDA is at a low historical percentile—classic high-profit-cycle conditions.</x:v>
      </x:c>
    </x:row>
    <x:row r="57">
      <x:c r="A57" s="32" t="n">
        <x:v>44712</x:v>
      </x:c>
      <x:c r="B57" s="33" t="n">
        <x:v>0.4118</x:v>
      </x:c>
      <x:c r="C57" s="40" t="n">
        <x:f>IFERROR((1+B57)/(1+B56)-1,"")</x:f>
        <x:v>-0.039983680130559085</x:v>
      </x:c>
      <x:c r="D57" s="40" t="n">
        <x:f>IFERROR((1+B57)/(1+B54)-1,"")</x:f>
        <x:v>-0.1254955401387512</x:v>
      </x:c>
      <x:c r="E57" s="40" t="n">
        <x:f>IFERROR((1+B57)/(1+B51)-1,"")</x:f>
        <x:v>-0.052610387867400354</x:v>
      </x:c>
      <x:c r="F57" s="36" t="n">
        <x:v>2.4942806442124903</x:v>
      </x:c>
      <x:c r="G57" s="40" t="n">
        <x:f>IFERROR(F57/F54-1,"")</x:f>
        <x:v>-0.21527047941645283</x:v>
      </x:c>
      <x:c r="H57" s="38" t="n">
        <x:v>34154.6669410791</x:v>
      </x:c>
      <x:c r="I57" s="40" t="n">
        <x:f>IFERROR(H57/H56-1,"")</x:f>
        <x:v>-0.02618134386225024</x:v>
      </x:c>
      <x:c r="J57" s="40" t="n">
        <x:f>IFERROR(H57/H54-1,"")</x:f>
        <x:v>0.1725502341270697</x:v>
      </x:c>
      <x:c r="K57" s="40" t="n">
        <x:f>IFERROR(H57/H51-1,"")</x:f>
        <x:v>0.3038243759004169</x:v>
      </x:c>
      <x:c r="L57" s="40" t="n">
        <x:f>IFERROR(J57-J56,"")</x:f>
        <x:v>-0.13127414177334717</x:v>
      </x:c>
      <x:c r="M57" s="40" t="n">
        <x:f>IFERROR(J57-D57,"")</x:f>
        <x:v>0.2980457742658209</x:v>
      </x:c>
      <x:c r="N57" s="42" t="str">
        <x:f>IF(J57&lt;0,IF(D57&lt;0,"Down-cycle","Price up / earnings down"),IF(AND(J57&gt;0,L57&lt;0,M57&lt;-0.15),"Late-cycle warning",IF(AND(J57&gt;0,M57&gt;0),"Earnings-led expansion",IF(AND(J57&gt;0,D57&lt;0),"Potential dislocation",IF(AND(J57&gt;0,M57&lt;0),"Price ahead / rerating","Neutral")))))</x:f>
        <x:v>Earnings-led expansion</x:v>
      </x:c>
      <x:c r="O57" s="40" t="n">
        <x:v>0.060594142223615144</x:v>
      </x:c>
      <x:c r="P57" s="40" t="n">
        <x:v>0.6470588235294118</x:v>
      </x:c>
      <x:c r="Q57" s="40" t="n">
        <x:v>0.6153846153846154</x:v>
      </x:c>
      <x:c r="R57" s="40" t="n">
        <x:v>0.19718309859154928</x:v>
      </x:c>
      <x:c r="S57" s="40" t="n">
        <x:v>0.8028169014084507</x:v>
      </x:c>
      <x:c r="T57" s="40" t="n">
        <x:v>0.1323529411764706</x:v>
      </x:c>
      <x:c r="U57" s="40" t="n">
        <x:v>0.9738186561377498</x:v>
      </x:c>
      <x:c r="V57" s="40" t="n">
        <x:v>0.5673507105984322</x:v>
      </x:c>
      <x:c r="W57" s="64" t="str">
        <x:v>Stage 8 – High-Cycle Expansion</x:v>
      </x:c>
      <x:c r="X57" s="64" t="str">
        <x:v>Rev3M +17.3%; Accel3M +6.1ppt; Stock3M -12.5%; EV/EBITDA 2.5x (20th pct); PeakRatio36M 97%; Multiple3M -21.5%; Earnings-Price Gap +29.8%; CycleHeat 57%. Forward EBITDA is near a 36M high, revisions remain positive, and EV/EBITDA is at a low historical percentile—classic high-profit-cycle conditions.</x:v>
      </x:c>
    </x:row>
    <x:row r="58">
      <x:c r="A58" s="32" t="n">
        <x:v>44742</x:v>
      </x:c>
      <x:c r="B58" s="33" t="n">
        <x:v>0.1895</x:v>
      </x:c>
      <x:c r="C58" s="40" t="n">
        <x:f>IFERROR((1+B58)/(1+B57)-1,"")</x:f>
        <x:v>-0.1574585635359116</x:v>
      </x:c>
      <x:c r="D58" s="40" t="n">
        <x:f>IFERROR((1+B58)/(1+B55)-1,"")</x:f>
        <x:v>-0.22884927066450567</x:v>
      </x:c>
      <x:c r="E58" s="40" t="n">
        <x:f>IFERROR((1+B58)/(1+B52)-1,"")</x:f>
        <x:v>-0.30536089698668545</x:v>
      </x:c>
      <x:c r="F58" s="36" t="n">
        <x:v>2.3414288557042906</x:v>
      </x:c>
      <x:c r="G58" s="40" t="n">
        <x:f>IFERROR(F58/F55-1,"")</x:f>
        <x:v>-0.24766645993966174</x:v>
      </x:c>
      <x:c r="H58" s="38" t="n">
        <x:v>32389.64853419709</x:v>
      </x:c>
      <x:c r="I58" s="40" t="n">
        <x:f>IFERROR(H58/H57-1,"")</x:f>
        <x:v>-0.05167722495806726</x:v>
      </x:c>
      <x:c r="J58" s="40" t="n">
        <x:f>IFERROR(H58/H55-1,"")</x:f>
        <x:v>0.08284358710160244</x:v>
      </x:c>
      <x:c r="K58" s="40" t="n">
        <x:f>IFERROR(H58/H52-1,"")</x:f>
        <x:v>0.2696885015789843</x:v>
      </x:c>
      <x:c r="L58" s="40" t="n">
        <x:f>IFERROR(J58-J57,"")</x:f>
        <x:v>-0.08970664702546727</x:v>
      </x:c>
      <x:c r="M58" s="40" t="n">
        <x:f>IFERROR(J58-D58,"")</x:f>
        <x:v>0.3116928577661081</x:v>
      </x:c>
      <x:c r="N58" s="42" t="str">
        <x:f>IF(J58&lt;0,IF(D58&lt;0,"Down-cycle","Price up / earnings down"),IF(AND(J58&gt;0,L58&lt;0,M58&lt;-0.15),"Late-cycle warning",IF(AND(J58&gt;0,M58&gt;0),"Earnings-led expansion",IF(AND(J58&gt;0,D58&lt;0),"Potential dislocation",IF(AND(J58&gt;0,M58&lt;0),"Price ahead / rerating","Neutral")))))</x:f>
        <x:v>Earnings-led expansion</x:v>
      </x:c>
      <x:c r="O58" s="40" t="n">
        <x:v>-0.08970664702547126</x:v>
      </x:c>
      <x:c r="P58" s="40" t="n">
        <x:v>0.5882352941176471</x:v>
      </x:c>
      <x:c r="Q58" s="40" t="n">
        <x:v>0.4153846153846154</x:v>
      </x:c>
      <x:c r="R58" s="40" t="n">
        <x:v>0.16901408450704225</x:v>
      </x:c>
      <x:c r="S58" s="40" t="n">
        <x:v>0.8309859154929577</x:v>
      </x:c>
      <x:c r="T58" s="40" t="n">
        <x:v>0</x:v>
      </x:c>
      <x:c r="U58" s="40" t="n">
        <x:v>0.9234944103761564</x:v>
      </x:c>
      <x:c r="V58" s="40" t="n">
        <x:v>0.4759256898859219</x:v>
      </x:c>
      <x:c r="W58" s="64" t="str">
        <x:v>Stage 10 – Price-Led Roll-over</x:v>
      </x:c>
      <x:c r="X58" s="64" t="str">
        <x:v>Rev3M +8.3%; Accel3M -9.0ppt; Stock3M -22.9%; EV/EBITDA 2.3x (17th pct); PeakRatio36M 92%; Multiple3M -24.8%; Earnings-Price Gap +31.2%; CycleHeat 48%. The stock has turned negative before forward EBITDA revisions have turned negative; price may be leading a future earnings slowdown.</x:v>
      </x:c>
    </x:row>
    <x:row r="59">
      <x:c r="A59" s="32" t="n">
        <x:v>44773</x:v>
      </x:c>
      <x:c r="B59" s="33" t="n">
        <x:v>0.2797</x:v>
      </x:c>
      <x:c r="C59" s="40" t="n">
        <x:f>IFERROR((1+B59)/(1+B58)-1,"")</x:f>
        <x:v>0.07583018074821357</x:v>
      </x:c>
      <x:c r="D59" s="40" t="n">
        <x:f>IFERROR((1+B59)/(1+B56)-1,"")</x:f>
        <x:v>-0.12981096151230798</x:v>
      </x:c>
      <x:c r="E59" s="40" t="n">
        <x:f>IFERROR((1+B59)/(1+B53)-1,"")</x:f>
        <x:v>-0.18759522600304723</x:v>
      </x:c>
      <x:c r="F59" s="36" t="n">
        <x:v>2.9369387417022224</x:v>
      </x:c>
      <x:c r="G59" s="40" t="n">
        <x:f>IFERROR(F59/F56-1,"")</x:f>
        <x:v>0.16512408485812724</x:v>
      </x:c>
      <x:c r="H59" s="38" t="n">
        <x:v>25173.760382134722</x:v>
      </x:c>
      <x:c r="I59" s="40" t="n">
        <x:f>IFERROR(H59/H58-1,"")</x:f>
        <x:v>-0.22278377440384423</x:v>
      </x:c>
      <x:c r="J59" s="40" t="n">
        <x:f>IFERROR(H59/H56-1,"")</x:f>
        <x:v>-0.28224516000829636</x:v>
      </x:c>
      <x:c r="K59" s="40" t="n">
        <x:f>IFERROR(H59/H53-1,"")</x:f>
        <x:v>-0.06417374369831341</x:v>
      </x:c>
      <x:c r="L59" s="40" t="n">
        <x:f>IFERROR(J59-J58,"")</x:f>
        <x:v>-0.3650887471098988</x:v>
      </x:c>
      <x:c r="M59" s="40" t="n">
        <x:f>IFERROR(J59-D59,"")</x:f>
        <x:v>-0.15243419849598838</x:v>
      </x:c>
      <x:c r="N59" s="42" t="str">
        <x:f>IF(J59&lt;0,IF(D59&lt;0,"Down-cycle","Price up / earnings down"),IF(AND(J59&gt;0,L59&lt;0,M59&lt;-0.15),"Late-cycle warning",IF(AND(J59&gt;0,M59&gt;0),"Earnings-led expansion",IF(AND(J59&gt;0,D59&lt;0),"Potential dislocation",IF(AND(J59&gt;0,M59&lt;0),"Price ahead / rerating","Neutral")))))</x:f>
        <x:v>Down-cycle</x:v>
      </x:c>
      <x:c r="O59" s="40" t="n">
        <x:v>-0.5860695359087132</x:v>
      </x:c>
      <x:c r="P59" s="40" t="n">
        <x:v>0.16176470588235295</x:v>
      </x:c>
      <x:c r="Q59" s="40" t="n">
        <x:v>0</x:v>
      </x:c>
      <x:c r="R59" s="40" t="n">
        <x:v>0.2676056338028169</x:v>
      </x:c>
      <x:c r="S59" s="40" t="n">
        <x:v>0.7323943661971831</x:v>
      </x:c>
      <x:c r="T59" s="40" t="n">
        <x:v>0.11764705882352941</x:v>
      </x:c>
      <x:c r="U59" s="40" t="n">
        <x:v>0.7177548399917036</x:v>
      </x:c>
      <x:c r="V59" s="40" t="n">
        <x:v>0.22662593206296602</x:v>
      </x:c>
      <x:c r="W59" s="64" t="str">
        <x:v>Stage 12 – Downturn Confirmation</x:v>
      </x:c>
      <x:c r="X59" s="64" t="str">
        <x:v>Rev3M -28.2%; Accel3M -58.6ppt; Stock3M -13.0%; EV/EBITDA 2.9x (27th pct); PeakRatio36M 72%; Multiple3M +16.5%; Earnings-Price Gap -15.2%; CycleHeat 23%. Forward EBITDA, revision momentum, and stock performance are all negative while earnings are still relatively elevated—downcycle is being confirmed.</x:v>
      </x:c>
    </x:row>
    <x:row r="60">
      <x:c r="A60" s="32" t="n">
        <x:v>44804</x:v>
      </x:c>
      <x:c r="B60" s="33" t="n">
        <x:v>0.2444</x:v>
      </x:c>
      <x:c r="C60" s="40" t="n">
        <x:f>IFERROR((1+B60)/(1+B59)-1,"")</x:f>
        <x:v>-0.027584590138313714</x:v>
      </x:c>
      <x:c r="D60" s="40" t="n">
        <x:f>IFERROR((1+B60)/(1+B57)-1,"")</x:f>
        <x:v>-0.11857203569910757</x:v>
      </x:c>
      <x:c r="E60" s="40" t="n">
        <x:f>IFERROR((1+B60)/(1+B54)-1,"")</x:f>
        <x:v>-0.22918731417244798</x:v>
      </x:c>
      <x:c r="F60" s="36" t="n">
        <x:v>3.458155036613678</x:v>
      </x:c>
      <x:c r="G60" s="40" t="n">
        <x:f>IFERROR(F60/F57-1,"")</x:f>
        <x:v>0.38643381795776555</x:v>
      </x:c>
      <x:c r="H60" s="38" t="n">
        <x:v>22340.84012708069</x:v>
      </x:c>
      <x:c r="I60" s="40" t="n">
        <x:f>IFERROR(H60/H59-1,"")</x:f>
        <x:v>-0.1125346476668816</x:v>
      </x:c>
      <x:c r="J60" s="40" t="n">
        <x:f>IFERROR(H60/H57-1,"")</x:f>
        <x:v>-0.3458920221467444</x:v>
      </x:c>
      <x:c r="K60" s="40" t="n">
        <x:f>IFERROR(H60/H54-1,"")</x:f>
        <x:v>-0.23302553742378107</x:v>
      </x:c>
      <x:c r="L60" s="40" t="n">
        <x:f>IFERROR(J60-J59,"")</x:f>
        <x:v>-0.06364686213844806</x:v>
      </x:c>
      <x:c r="M60" s="40" t="n">
        <x:f>IFERROR(J60-D60,"")</x:f>
        <x:v>-0.22731998644763685</x:v>
      </x:c>
      <x:c r="N60" s="42" t="str">
        <x:f>IF(J60&lt;0,IF(D60&lt;0,"Down-cycle","Price up / earnings down"),IF(AND(J60&gt;0,L60&lt;0,M60&lt;-0.15),"Late-cycle warning",IF(AND(J60&gt;0,M60&gt;0),"Earnings-led expansion",IF(AND(J60&gt;0,D60&lt;0),"Potential dislocation",IF(AND(J60&gt;0,M60&lt;0),"Price ahead / rerating","Neutral")))))</x:f>
        <x:v>Down-cycle</x:v>
      </x:c>
      <x:c r="O60" s="40" t="n">
        <x:v>-0.5184422562738141</x:v>
      </x:c>
      <x:c r="P60" s="40" t="n">
        <x:v>0.11764705882352941</x:v>
      </x:c>
      <x:c r="Q60" s="40" t="n">
        <x:v>0.015384615384615385</x:v>
      </x:c>
      <x:c r="R60" s="40" t="n">
        <x:v>0.3873239436619718</x:v>
      </x:c>
      <x:c r="S60" s="40" t="n">
        <x:v>0.6126760563380282</x:v>
      </x:c>
      <x:c r="T60" s="40" t="n">
        <x:v>0.16176470588235295</x:v>
      </x:c>
      <x:c r="U60" s="40" t="n">
        <x:v>0.6369825519620383</x:v>
      </x:c>
      <x:c r="V60" s="40" t="n">
        <x:v>0.19991077687846537</x:v>
      </x:c>
      <x:c r="W60" s="64" t="str">
        <x:v>Stage 1 – Downturn Acceleration</x:v>
      </x:c>
      <x:c r="X60" s="64" t="str">
        <x:v>Rev3M -34.6%; Accel3M -51.8ppt; Stock3M -11.9%; EV/EBITDA 3.5x (39th pct); PeakRatio36M 64%; Multiple3M +38.6%; Earnings-Price Gap -22.7%; CycleHeat 20%. Forward EBITDA is being cut, revision momentum is still worsening, the stock is falling, and earnings are already well below the prior peak.</x:v>
      </x:c>
    </x:row>
    <x:row r="61">
      <x:c r="A61" s="32" t="n">
        <x:v>44834</x:v>
      </x:c>
      <x:c r="B61" s="33" t="n">
        <x:v>0.0863</x:v>
      </x:c>
      <x:c r="C61" s="40" t="n">
        <x:f>IFERROR((1+B61)/(1+B60)-1,"")</x:f>
        <x:v>-0.12704918032786883</x:v>
      </x:c>
      <x:c r="D61" s="40" t="n">
        <x:f>IFERROR((1+B61)/(1+B58)-1,"")</x:f>
        <x:v>-0.08675914249684735</x:v>
      </x:c>
      <x:c r="E61" s="40" t="n">
        <x:f>IFERROR((1+B61)/(1+B55)-1,"")</x:f>
        <x:v>-0.2957536466774716</x:v>
      </x:c>
      <x:c r="F61" s="36" t="n">
        <x:v>3.5881065472151206</x:v>
      </x:c>
      <x:c r="G61" s="40" t="n">
        <x:f>IFERROR(F61/F58-1,"")</x:f>
        <x:v>0.5324431226998931</x:v>
      </x:c>
      <x:c r="H61" s="38" t="n">
        <x:v>20091.47689351427</x:v>
      </x:c>
      <x:c r="I61" s="40" t="n">
        <x:f>IFERROR(H61/H60-1,"")</x:f>
        <x:v>-0.10068391433676793</x:v>
      </x:c>
      <x:c r="J61" s="40" t="n">
        <x:f>IFERROR(H61/H58-1,"")</x:f>
        <x:v>-0.37969450726513354</x:v>
      </x:c>
      <x:c r="K61" s="40" t="n">
        <x:f>IFERROR(H61/H55-1,"")</x:f>
        <x:v>-0.3283061751481502</x:v>
      </x:c>
      <x:c r="L61" s="40" t="n">
        <x:f>IFERROR(J61-J60,"")</x:f>
        <x:v>-0.033802485118389125</x:v>
      </x:c>
      <x:c r="M61" s="40" t="n">
        <x:f>IFERROR(J61-D61,"")</x:f>
        <x:v>-0.2929353647682862</x:v>
      </x:c>
      <x:c r="N61" s="42" t="str">
        <x:f>IF(J61&lt;0,IF(D61&lt;0,"Down-cycle","Price up / earnings down"),IF(AND(J61&gt;0,L61&lt;0,M61&lt;-0.15),"Late-cycle warning",IF(AND(J61&gt;0,M61&gt;0),"Earnings-led expansion",IF(AND(J61&gt;0,D61&lt;0),"Potential dislocation",IF(AND(J61&gt;0,M61&lt;0),"Price ahead / rerating","Neutral")))))</x:f>
        <x:v>Down-cycle</x:v>
      </x:c>
      <x:c r="O61" s="40" t="n">
        <x:v>-0.462538094366736</x:v>
      </x:c>
      <x:c r="P61" s="40" t="n">
        <x:v>0.08823529411764706</x:v>
      </x:c>
      <x:c r="Q61" s="40" t="n">
        <x:v>0.03076923076923077</x:v>
      </x:c>
      <x:c r="R61" s="40" t="n">
        <x:v>0.43661971830985913</x:v>
      </x:c>
      <x:c r="S61" s="40" t="n">
        <x:v>0.5633802816901409</x:v>
      </x:c>
      <x:c r="T61" s="40" t="n">
        <x:v>0.27941176470588236</x:v>
      </x:c>
      <x:c r="U61" s="40" t="n">
        <x:v>0.5728486552662767</x:v>
      </x:c>
      <x:c r="V61" s="40" t="n">
        <x:v>0.20713306991268882</x:v>
      </x:c>
      <x:c r="W61" s="64" t="str">
        <x:v>Stage 1 – Downturn Acceleration</x:v>
      </x:c>
      <x:c r="X61" s="64" t="str">
        <x:v>Rev3M -38.0%; Accel3M -46.3ppt; Stock3M -8.7%; EV/EBITDA 3.6x (44th pct); PeakRatio36M 57%; Multiple3M +53.2%; Earnings-Price Gap -29.3%; CycleHeat 21%. Forward EBITDA is being cut, revision momentum is still worsening, the stock is falling, and earnings are already well below the prior peak.</x:v>
      </x:c>
    </x:row>
    <x:row r="62">
      <x:c r="A62" s="32" t="n">
        <x:v>44865</x:v>
      </x:c>
      <x:c r="B62" s="33" t="n">
        <x:v>0.081</x:v>
      </x:c>
      <x:c r="C62" s="40" t="n">
        <x:f>IFERROR((1+B62)/(1+B61)-1,"")</x:f>
        <x:v>-0.0048789468839179895</x:v>
      </x:c>
      <x:c r="D62" s="40" t="n">
        <x:f>IFERROR((1+B62)/(1+B59)-1,"")</x:f>
        <x:v>-0.15527076658591865</x:v>
      </x:c>
      <x:c r="E62" s="40" t="n">
        <x:f>IFERROR((1+B62)/(1+B56)-1,"")</x:f>
        <x:v>-0.2649258805929553</x:v>
      </x:c>
      <x:c r="F62" s="36" t="n">
        <x:v>4.453504145408604</x:v>
      </x:c>
      <x:c r="G62" s="40" t="n">
        <x:f>IFERROR(F62/F59-1,"")</x:f>
        <x:v>0.5163762465223889</x:v>
      </x:c>
      <x:c r="H62" s="38" t="n">
        <x:v>17134.853849968942</x:v>
      </x:c>
      <x:c r="I62" s="40" t="n">
        <x:f>IFERROR(H62/H61-1,"")</x:f>
        <x:v>-0.14715807400399505</x:v>
      </x:c>
      <x:c r="J62" s="40" t="n">
        <x:f>IFERROR(H62/H59-1,"")</x:f>
        <x:v>-0.31933673833929155</x:v>
      </x:c>
      <x:c r="K62" s="40" t="n">
        <x:f>IFERROR(H62/H56-1,"")</x:f>
        <x:v>-0.5114506495384871</x:v>
      </x:c>
      <x:c r="L62" s="40" t="n">
        <x:f>IFERROR(J62-J61,"")</x:f>
        <x:v>0.06035776892584199</x:v>
      </x:c>
      <x:c r="M62" s="40" t="n">
        <x:f>IFERROR(J62-D62,"")</x:f>
        <x:v>-0.1640659717533729</x:v>
      </x:c>
      <x:c r="N62" s="42" t="str">
        <x:f>IF(J62&lt;0,IF(D62&lt;0,"Down-cycle","Price up / earnings down"),IF(AND(J62&gt;0,L62&lt;0,M62&lt;-0.15),"Late-cycle warning",IF(AND(J62&gt;0,M62&gt;0),"Earnings-led expansion",IF(AND(J62&gt;0,D62&lt;0),"Potential dislocation",IF(AND(J62&gt;0,M62&lt;0),"Price ahead / rerating","Neutral")))))</x:f>
        <x:v>Down-cycle</x:v>
      </x:c>
      <x:c r="O62" s="40" t="n">
        <x:v>-0.03709157833099519</x:v>
      </x:c>
      <x:c r="P62" s="40" t="n">
        <x:v>0.14705882352941177</x:v>
      </x:c>
      <x:c r="Q62" s="40" t="n">
        <x:v>0.5230769230769231</x:v>
      </x:c>
      <x:c r="R62" s="40" t="n">
        <x:v>0.6197183098591549</x:v>
      </x:c>
      <x:c r="S62" s="40" t="n">
        <x:v>0.3802816901408451</x:v>
      </x:c>
      <x:c r="T62" s="40" t="n">
        <x:v>0.08823529411764706</x:v>
      </x:c>
      <x:c r="U62" s="40" t="n">
        <x:v>0.48854935046151293</x:v>
      </x:c>
      <x:c r="V62" s="40" t="n">
        <x:v>0.27594321585622333</x:v>
      </x:c>
      <x:c r="W62" s="64" t="str">
        <x:v>Stage 1 – Downturn Acceleration</x:v>
      </x:c>
      <x:c r="X62" s="64" t="str">
        <x:v>Rev3M -31.9%; Accel3M -3.7ppt; Stock3M -15.5%; EV/EBITDA 4.5x (62th pct); PeakRatio36M 49%; Multiple3M +51.6%; Earnings-Price Gap -16.4%; CycleHeat 28%. Forward EBITDA is being cut, revision momentum is still worsening, the stock is falling, and earnings are already well below the prior peak.</x:v>
      </x:c>
    </x:row>
    <x:row r="63">
      <x:c r="A63" s="32" t="n">
        <x:v>44895</x:v>
      </x:c>
      <x:c r="B63" s="33" t="n">
        <x:v>0.1111</x:v>
      </x:c>
      <x:c r="C63" s="40" t="n">
        <x:f>IFERROR((1+B63)/(1+B62)-1,"")</x:f>
        <x:v>0.027844588344125842</x:v>
      </x:c>
      <x:c r="D63" s="40" t="n">
        <x:f>IFERROR((1+B63)/(1+B60)-1,"")</x:f>
        <x:v>-0.10711989713918357</x:v>
      </x:c>
      <x:c r="E63" s="40" t="n">
        <x:f>IFERROR((1+B63)/(1+B57)-1,"")</x:f>
        <x:v>-0.21299050857061907</x:v>
      </x:c>
      <x:c r="F63" s="36" t="n">
        <x:v>4.694494336711031</x:v>
      </x:c>
      <x:c r="G63" s="40" t="n">
        <x:f>IFERROR(F63/F60-1,"")</x:f>
        <x:v>0.3575141331164873</x:v>
      </x:c>
      <x:c r="H63" s="38" t="n">
        <x:v>16249.372152940548</x:v>
      </x:c>
      <x:c r="I63" s="40" t="n">
        <x:f>IFERROR(H63/H62-1,"")</x:f>
        <x:v>-0.05167722495806393</x:v>
      </x:c>
      <x:c r="J63" s="40" t="n">
        <x:f>IFERROR(H63/H60-1,"")</x:f>
        <x:v>-0.27266064926342237</x:v>
      </x:c>
      <x:c r="K63" s="40" t="n">
        <x:f>IFERROR(H63/H57-1,"")</x:f>
        <x:v>-0.5242415280765974</x:v>
      </x:c>
      <x:c r="L63" s="40" t="n">
        <x:f>IFERROR(J63-J62,"")</x:f>
        <x:v>0.046676089075869176</x:v>
      </x:c>
      <x:c r="M63" s="40" t="n">
        <x:f>IFERROR(J63-D63,"")</x:f>
        <x:v>-0.1655407521242388</x:v>
      </x:c>
      <x:c r="N63" s="42" t="str">
        <x:f>IF(J63&lt;0,IF(D63&lt;0,"Down-cycle","Price up / earnings down"),IF(AND(J63&gt;0,L63&lt;0,M63&lt;-0.15),"Late-cycle warning",IF(AND(J63&gt;0,M63&gt;0),"Earnings-led expansion",IF(AND(J63&gt;0,D63&lt;0),"Potential dislocation",IF(AND(J63&gt;0,M63&lt;0),"Price ahead / rerating","Neutral")))))</x:f>
        <x:v>Down-cycle</x:v>
      </x:c>
      <x:c r="O63" s="40" t="n">
        <x:v>0.07323137288332204</x:v>
      </x:c>
      <x:c r="P63" s="40" t="n">
        <x:v>0.17647058823529413</x:v>
      </x:c>
      <x:c r="Q63" s="40" t="n">
        <x:v>0.6461538461538462</x:v>
      </x:c>
      <x:c r="R63" s="40" t="n">
        <x:v>0.6338028169014085</x:v>
      </x:c>
      <x:c r="S63" s="40" t="n">
        <x:v>0.3661971830985915</x:v>
      </x:c>
      <x:c r="T63" s="40" t="n">
        <x:v>0.20588235294117646</x:v>
      </x:c>
      <x:c r="U63" s="40" t="n">
        <x:v>0.46330247577459727</x:v>
      </x:c>
      <x:c r="V63" s="40" t="n">
        <x:v>0.3377190746287681</x:v>
      </x:c>
      <x:c r="W63" s="64" t="str">
        <x:v>Stage 3 – Trough Formation</x:v>
      </x:c>
      <x:c r="X63" s="64" t="str">
        <x:v>Rev3M -27.3%; Accel3M +7.3ppt; Stock3M -10.7%; EV/EBITDA 4.7x (63th pct); PeakRatio36M 46%; Multiple3M +35.8%; Earnings-Price Gap -16.6%; CycleHeat 34%. EBITDA is still being revised down, but the pace of cuts is improving; the stock has not yet clearly turned positive.</x:v>
      </x:c>
    </x:row>
    <x:row r="64">
      <x:c r="A64" s="32" t="n">
        <x:v>44926</x:v>
      </x:c>
      <x:c r="B64" s="33" t="n">
        <x:v>-0.0196</x:v>
      </x:c>
      <x:c r="C64" s="40" t="n">
        <x:f>IFERROR((1+B64)/(1+B63)-1,"")</x:f>
        <x:v>-0.11763117631176301</x:v>
      </x:c>
      <x:c r="D64" s="40" t="n">
        <x:f>IFERROR((1+B64)/(1+B61)-1,"")</x:f>
        <x:v>-0.09748688207677436</x:v>
      </x:c>
      <x:c r="E64" s="40" t="n">
        <x:f>IFERROR((1+B64)/(1+B58)-1,"")</x:f>
        <x:v>-0.17578814627994954</x:v>
      </x:c>
      <x:c r="F64" s="36" t="n">
        <x:v>6.174488755609587</x:v>
      </x:c>
      <x:c r="G64" s="40" t="n">
        <x:f>IFERROR(F64/F61-1,"")</x:f>
        <x:v>0.7208209049427101</x:v>
      </x:c>
      <x:c r="H64" s="38" t="n">
        <x:v>11357.710781004673</x:v>
      </x:c>
      <x:c r="I64" s="40" t="n">
        <x:f>IFERROR(H64/H63-1,"")</x:f>
        <x:v>-0.301036946282916</x:v>
      </x:c>
      <x:c r="J64" s="40" t="n">
        <x:f>IFERROR(H64/H61-1,"")</x:f>
        <x:v>-0.4347000550929606</x:v>
      </x:c>
      <x:c r="K64" s="40" t="n">
        <x:f>IFERROR(H64/H58-1,"")</x:f>
        <x:v>-0.6493413391314461</x:v>
      </x:c>
      <x:c r="L64" s="40" t="n">
        <x:f>IFERROR(J64-J63,"")</x:f>
        <x:v>-0.16203940582953824</x:v>
      </x:c>
      <x:c r="M64" s="40" t="n">
        <x:f>IFERROR(J64-D64,"")</x:f>
        <x:v>-0.33721317301618625</x:v>
      </x:c>
      <x:c r="N64" s="42" t="str">
        <x:f>IF(J64&lt;0,IF(D64&lt;0,"Down-cycle","Price up / earnings down"),IF(AND(J64&gt;0,L64&lt;0,M64&lt;-0.15),"Late-cycle warning",IF(AND(J64&gt;0,M64&gt;0),"Earnings-led expansion",IF(AND(J64&gt;0,D64&lt;0),"Potential dislocation",IF(AND(J64&gt;0,M64&lt;0),"Price ahead / rerating","Neutral")))))</x:f>
        <x:v>Down-cycle</x:v>
      </x:c>
      <x:c r="O64" s="40" t="n">
        <x:v>-0.05500554782782707</x:v>
      </x:c>
      <x:c r="P64" s="40" t="n">
        <x:v>0.051470588235294115</x:v>
      </x:c>
      <x:c r="Q64" s="40" t="n">
        <x:v>0.46153846153846156</x:v>
      </x:c>
      <x:c r="R64" s="40" t="n">
        <x:v>0.8309859154929577</x:v>
      </x:c>
      <x:c r="S64" s="40" t="n">
        <x:v>0.16901408450704225</x:v>
      </x:c>
      <x:c r="T64" s="40" t="n">
        <x:v>0.2647058823529412</x:v>
      </x:c>
      <x:c r="U64" s="40" t="n">
        <x:v>0.32383131326209785</x:v>
      </x:c>
      <x:c r="V64" s="40" t="n">
        <x:v>0.22014331463896503</x:v>
      </x:c>
      <x:c r="W64" s="64" t="str">
        <x:v>Stage 2 – Deep Downturn / Capitulation</x:v>
      </x:c>
      <x:c r="X64" s="64" t="str">
        <x:v>Rev3M -43.5%; Accel3M -5.5ppt; Stock3M -9.7%; EV/EBITDA 6.2x (83th pct); PeakRatio36M 32%; Multiple3M +72.1%; Earnings-Price Gap -33.7%; CycleHeat 22%. EBITDA revisions and stock returns are in weak historical percentiles, the multiple is unusually high, and forward EBITDA is far below its 36M peak.</x:v>
      </x:c>
    </x:row>
    <x:row r="65">
      <x:c r="A65" s="32" t="n">
        <x:v>44957</x:v>
      </x:c>
      <x:c r="B65" s="33" t="n">
        <x:v>0.1569</x:v>
      </x:c>
      <x:c r="C65" s="40" t="n">
        <x:f>IFERROR((1+B65)/(1+B64)-1,"")</x:f>
        <x:v>0.18002855977152188</x:v>
      </x:c>
      <x:c r="D65" s="40" t="n">
        <x:f>IFERROR((1+B65)/(1+B62)-1,"")</x:f>
        <x:v>0.07021276595744697</x:v>
      </x:c>
      <x:c r="E65" s="40" t="n">
        <x:f>IFERROR((1+B65)/(1+B59)-1,"")</x:f>
        <x:v>-0.09595999062280225</x:v>
      </x:c>
      <x:c r="F65" s="36" t="n">
        <x:v>8.470767379863753</x:v>
      </x:c>
      <x:c r="G65" s="40" t="n">
        <x:f>IFERROR(F65/F62-1,"")</x:f>
        <x:v>0.9020454687567312</x:v>
      </x:c>
      <x:c r="H65" s="38" t="n">
        <x:v>9185.769182831238</x:v>
      </x:c>
      <x:c r="I65" s="40" t="n">
        <x:f>IFERROR(H65/H64-1,"")</x:f>
        <x:v>-0.1912305780673621</x:v>
      </x:c>
      <x:c r="J65" s="40" t="n">
        <x:f>IFERROR(H65/H62-1,"")</x:f>
        <x:v>-0.4639131875147048</x:v>
      </x:c>
      <x:c r="K65" s="40" t="n">
        <x:f>IFERROR(H65/H59-1,"")</x:f>
        <x:v>-0.6351054016804665</x:v>
      </x:c>
      <x:c r="L65" s="40" t="n">
        <x:f>IFERROR(J65-J64,"")</x:f>
        <x:v>-0.02921313242174417</x:v>
      </x:c>
      <x:c r="M65" s="40" t="n">
        <x:f>IFERROR(J65-D65,"")</x:f>
        <x:v>-0.5341259534721517</x:v>
      </x:c>
      <x:c r="N65" s="42" t="str">
        <x:f>IF(J65&lt;0,IF(D65&lt;0,"Down-cycle","Price up / earnings down"),IF(AND(J65&gt;0,L65&lt;0,M65&lt;-0.15),"Late-cycle warning",IF(AND(J65&gt;0,M65&gt;0),"Earnings-led expansion",IF(AND(J65&gt;0,D65&lt;0),"Potential dislocation",IF(AND(J65&gt;0,M65&lt;0),"Price ahead / rerating","Neutral")))))</x:f>
        <x:v>Price up / earnings down</x:v>
      </x:c>
      <x:c r="O65" s="40" t="n">
        <x:v>-0.14457644917541324</x:v>
      </x:c>
      <x:c r="P65" s="40" t="n">
        <x:v>0.029411764705882353</x:v>
      </x:c>
      <x:c r="Q65" s="40" t="n">
        <x:v>0.2923076923076923</x:v>
      </x:c>
      <x:c r="R65" s="40" t="n">
        <x:v>0.8873239436619719</x:v>
      </x:c>
      <x:c r="S65" s="40" t="n">
        <x:v>0.11267605633802813</x:v>
      </x:c>
      <x:c r="T65" s="40" t="n">
        <x:v>0.6323529411764706</x:v>
      </x:c>
      <x:c r="U65" s="40" t="n">
        <x:v>0.2619048640306738</x:v>
      </x:c>
      <x:c r="V65" s="40" t="n">
        <x:v>0.23237684022688165</x:v>
      </x:c>
      <x:c r="W65" s="64" t="str">
        <x:v>Stage 13 – Mixed / Transition</x:v>
      </x:c>
      <x:c r="X65" s="64" t="str">
        <x:v>Rev3M -46.4%; Accel3M -14.5ppt; Stock3M +7.0%; EV/EBITDA 8.5x (89th pct); PeakRatio36M 26%; Multiple3M +90.2%; Earnings-Price Gap -53.4%; CycleHeat 23%. Signals do not fit one dominant state; treat as a transition and require confirmation from the next 1–3 monthly observations.</x:v>
      </x:c>
    </x:row>
    <x:row r="66">
      <x:c r="A66" s="32" t="n">
        <x:v>44985</x:v>
      </x:c>
      <x:c r="B66" s="33" t="n">
        <x:v>0.1686</x:v>
      </x:c>
      <x:c r="C66" s="40" t="n">
        <x:f>IFERROR((1+B66)/(1+B65)-1,"")</x:f>
        <x:v>0.010113233641628527</x:v>
      </x:c>
      <x:c r="D66" s="40" t="n">
        <x:f>IFERROR((1+B66)/(1+B63)-1,"")</x:f>
        <x:v>0.05175051750517512</x:v>
      </x:c>
      <x:c r="E66" s="40" t="n">
        <x:f>IFERROR((1+B66)/(1+B60)-1,"")</x:f>
        <x:v>-0.06091288974606224</x:v>
      </x:c>
      <x:c r="F66" s="36" t="n">
        <x:v>11.082717017762752</x:v>
      </x:c>
      <x:c r="G66" s="40" t="n">
        <x:f>IFERROR(F66/F63-1,"")</x:f>
        <x:v>1.3607903690703602</x:v>
      </x:c>
      <x:c r="H66" s="38" t="n">
        <x:v>6952.411629818997</x:v>
      </x:c>
      <x:c r="I66" s="40" t="n">
        <x:f>IFERROR(H66/H65-1,"")</x:f>
        <x:v>-0.2431323396614975</x:v>
      </x:c>
      <x:c r="J66" s="40" t="n">
        <x:f>IFERROR(H66/H63-1,"")</x:f>
        <x:v>-0.5721427533087263</x:v>
      </x:c>
      <x:c r="K66" s="40" t="n">
        <x:f>IFERROR(H66/H60-1,"")</x:f>
        <x:v>-0.6888025879836293</x:v>
      </x:c>
      <x:c r="L66" s="40" t="n">
        <x:f>IFERROR(J66-J65,"")</x:f>
        <x:v>-0.10822956579402154</x:v>
      </x:c>
      <x:c r="M66" s="40" t="n">
        <x:f>IFERROR(J66-D66,"")</x:f>
        <x:v>-0.6238932708139014</x:v>
      </x:c>
      <x:c r="N66" s="42" t="str">
        <x:f>IF(J66&lt;0,IF(D66&lt;0,"Down-cycle","Price up / earnings down"),IF(AND(J66&gt;0,L66&lt;0,M66&lt;-0.15),"Late-cycle warning",IF(AND(J66&gt;0,M66&gt;0),"Earnings-led expansion",IF(AND(J66&gt;0,D66&lt;0),"Potential dislocation",IF(AND(J66&gt;0,M66&lt;0),"Price ahead / rerating","Neutral")))))</x:f>
        <x:v>Price up / earnings down</x:v>
      </x:c>
      <x:c r="O66" s="40" t="n">
        <x:v>-0.29948210404530395</x:v>
      </x:c>
      <x:c r="P66" s="40" t="n">
        <x:v>0</x:v>
      </x:c>
      <x:c r="Q66" s="40" t="n">
        <x:v>0.06153846153846154</x:v>
      </x:c>
      <x:c r="R66" s="40" t="n">
        <x:v>0.9436619718309859</x:v>
      </x:c>
      <x:c r="S66" s="40" t="n">
        <x:v>0.05633802816901412</x:v>
      </x:c>
      <x:c r="T66" s="40" t="n">
        <x:v>0.5735294117647058</x:v>
      </x:c>
      <x:c r="U66" s="40" t="n">
        <x:v>0.19822732167016974</x:v>
      </x:c>
      <x:c r="V66" s="40" t="n">
        <x:v>0.14135810337135937</x:v>
      </x:c>
      <x:c r="W66" s="64" t="str">
        <x:v>Stage 13 – Mixed / Transition</x:v>
      </x:c>
      <x:c r="X66" s="64" t="str">
        <x:v>Rev3M -57.2%; Accel3M -29.9ppt; Stock3M +5.2%; EV/EBITDA 11.1x (94th pct); PeakRatio36M 20%; Multiple3M +136.1%; Earnings-Price Gap -62.4%; CycleHeat 14%. Signals do not fit one dominant state; treat as a transition and require confirmation from the next 1–3 monthly observations.</x:v>
      </x:c>
    </x:row>
    <x:row r="67">
      <x:c r="A67" s="32" t="n">
        <x:v>45016</x:v>
      </x:c>
      <x:c r="B67" s="33" t="n">
        <x:v>0.1582</x:v>
      </x:c>
      <x:c r="C67" s="40" t="n">
        <x:f>IFERROR((1+B67)/(1+B66)-1,"")</x:f>
        <x:v>-0.008899537908608757</x:v>
      </x:c>
      <x:c r="D67" s="40" t="n">
        <x:f>IFERROR((1+B67)/(1+B64)-1,"")</x:f>
        <x:v>0.1813545491636066</x:v>
      </x:c>
      <x:c r="E67" s="40" t="n">
        <x:f>IFERROR((1+B67)/(1+B61)-1,"")</x:f>
        <x:v>0.06618797753843308</x:v>
      </x:c>
      <x:c r="F67" s="36" t="n">
        <x:v>15.044944984943543</x:v>
      </x:c>
      <x:c r="G67" s="40" t="n">
        <x:f>IFERROR(F67/F64-1,"")</x:f>
        <x:v>1.436630072615333</x:v>
      </x:c>
      <x:c r="H67" s="38" t="n">
        <x:v>5192.714812983279</x:v>
      </x:c>
      <x:c r="I67" s="40" t="n">
        <x:f>IFERROR(H67/H66-1,"")</x:f>
        <x:v>-0.2531059595620535</x:v>
      </x:c>
      <x:c r="J67" s="40" t="n">
        <x:f>IFERROR(H67/H64-1,"")</x:f>
        <x:v>-0.5428026903389818</x:v>
      </x:c>
      <x:c r="K67" s="40" t="n">
        <x:f>IFERROR(H67/H61-1,"")</x:f>
        <x:v>-0.7415463860369798</x:v>
      </x:c>
      <x:c r="L67" s="40" t="n">
        <x:f>IFERROR(J67-J66,"")</x:f>
        <x:v>0.029340062969744563</x:v>
      </x:c>
      <x:c r="M67" s="40" t="n">
        <x:f>IFERROR(J67-D67,"")</x:f>
        <x:v>-0.7241572395025884</x:v>
      </x:c>
      <x:c r="N67" s="42" t="str">
        <x:f>IF(J67&lt;0,IF(D67&lt;0,"Down-cycle","Price up / earnings down"),IF(AND(J67&gt;0,L67&lt;0,M67&lt;-0.15),"Late-cycle warning",IF(AND(J67&gt;0,M67&gt;0),"Earnings-led expansion",IF(AND(J67&gt;0,D67&lt;0),"Potential dislocation",IF(AND(J67&gt;0,M67&lt;0),"Price ahead / rerating","Neutral")))))</x:f>
        <x:v>Price up / earnings down</x:v>
      </x:c>
      <x:c r="O67" s="40" t="n">
        <x:v>-0.10810263524602115</x:v>
      </x:c>
      <x:c r="P67" s="40" t="n">
        <x:v>0.014705882352941176</x:v>
      </x:c>
      <x:c r="Q67" s="40" t="n">
        <x:v>0.35384615384615387</x:v>
      </x:c>
      <x:c r="R67" s="40" t="n">
        <x:v>0.9859154929577465</x:v>
      </x:c>
      <x:c r="S67" s="40" t="n">
        <x:v>0.014084507042253502</x:v>
      </x:c>
      <x:c r="T67" s="40" t="n">
        <x:v>0.8088235294117647</x:v>
      </x:c>
      <x:c r="U67" s="40" t="n">
        <x:v>0.14805480520742556</x:v>
      </x:c>
      <x:c r="V67" s="40" t="n">
        <x:v>0.2581902045758715</x:v>
      </x:c>
      <x:c r="W67" s="64" t="str">
        <x:v>Stage 13 – Mixed / Transition</x:v>
      </x:c>
      <x:c r="X67" s="64" t="str">
        <x:v>Rev3M -54.3%; Accel3M -10.8ppt; Stock3M +18.1%; EV/EBITDA 15.0x (99th pct); PeakRatio36M 15%; Multiple3M +143.7%; Earnings-Price Gap -72.4%; CycleHeat 26%. Signals do not fit one dominant state; treat as a transition and require confirmation from the next 1–3 monthly observations.</x:v>
      </x:c>
    </x:row>
    <x:row r="68">
      <x:c r="A68" s="32" t="n">
        <x:v>45046</x:v>
      </x:c>
      <x:c r="B68" s="33" t="n">
        <x:v>0.1699</x:v>
      </x:c>
      <x:c r="C68" s="40" t="n">
        <x:f>IFERROR((1+B68)/(1+B67)-1,"")</x:f>
        <x:v>0.010101882231048132</x:v>
      </x:c>
      <x:c r="D68" s="40" t="n">
        <x:f>IFERROR((1+B68)/(1+B65)-1,"")</x:f>
        <x:v>0.011236926268475944</x:v>
      </x:c>
      <x:c r="E68" s="40" t="n">
        <x:f>IFERROR((1+B68)/(1+B62)-1,"")</x:f>
        <x:v>0.0822386679000926</x:v>
      </x:c>
      <x:c r="F68" s="36" t="n">
        <x:v>15.365453668282305</x:v>
      </x:c>
      <x:c r="G68" s="40" t="n">
        <x:f>IFERROR(F68/F65-1,"")</x:f>
        <x:v>0.8139388061591946</x:v>
      </x:c>
      <x:c r="H68" s="38" t="n">
        <x:v>5192.714812983279</x:v>
      </x:c>
      <x:c r="I68" s="40" t="n">
        <x:f>IFERROR(H68/H67-1,"")</x:f>
        <x:v>0</x:v>
      </x:c>
      <x:c r="J68" s="40" t="n">
        <x:f>IFERROR(H68/H65-1,"")</x:f>
        <x:v>-0.4347000550929606</x:v>
      </x:c>
      <x:c r="K68" s="40" t="n">
        <x:f>IFERROR(H68/H62-1,"")</x:f>
        <x:v>-0.6969501544366723</x:v>
      </x:c>
      <x:c r="L68" s="40" t="n">
        <x:f>IFERROR(J68-J67,"")</x:f>
        <x:v>0.10810263524602115</x:v>
      </x:c>
      <x:c r="M68" s="40" t="n">
        <x:f>IFERROR(J68-D68,"")</x:f>
        <x:v>-0.44593698136143656</x:v>
      </x:c>
      <x:c r="N68" s="42" t="str">
        <x:f>IF(J68&lt;0,IF(D68&lt;0,"Down-cycle","Price up / earnings down"),IF(AND(J68&gt;0,L68&lt;0,M68&lt;-0.15),"Late-cycle warning",IF(AND(J68&gt;0,M68&gt;0),"Earnings-led expansion",IF(AND(J68&gt;0,D68&lt;0),"Potential dislocation",IF(AND(J68&gt;0,M68&lt;0),"Price ahead / rerating","Neutral")))))</x:f>
        <x:v>Price up / earnings down</x:v>
      </x:c>
      <x:c r="O68" s="40" t="n">
        <x:v>0.02921313242174417</x:v>
      </x:c>
      <x:c r="P68" s="40" t="n">
        <x:v>0.051470588235294115</x:v>
      </x:c>
      <x:c r="Q68" s="40" t="n">
        <x:v>0.5692307692307692</x:v>
      </x:c>
      <x:c r="R68" s="40" t="n">
        <x:v>1</x:v>
      </x:c>
      <x:c r="S68" s="40" t="n">
        <x:v>0</x:v>
      </x:c>
      <x:c r="T68" s="40" t="n">
        <x:v>0.5</x:v>
      </x:c>
      <x:c r="U68" s="40" t="n">
        <x:v>0.14805480520742556</x:v>
      </x:c>
      <x:c r="V68" s="40" t="n">
        <x:v>0.2603223981900452</x:v>
      </x:c>
      <x:c r="W68" s="64" t="str">
        <x:v>Stage 4 – Price-Led Bottom</x:v>
      </x:c>
      <x:c r="X68" s="64" t="str">
        <x:v>Rev3M -43.5%; Accel3M +2.9ppt; Stock3M +1.1%; EV/EBITDA 15.4x (100th pct); PeakRatio36M 15%; Multiple3M +81.4%; Earnings-Price Gap -44.6%; CycleHeat 26%. EBITDA is still being revised down but improving, while the stock has already turned up—typical price leadership near a bottom.</x:v>
      </x:c>
    </x:row>
    <x:row r="69">
      <x:c r="A69" s="32" t="n">
        <x:v>45077</x:v>
      </x:c>
      <x:c r="B69" s="33" t="n">
        <x:v>0.4196</x:v>
      </x:c>
      <x:c r="C69" s="40" t="n">
        <x:f>IFERROR((1+B69)/(1+B68)-1,"")</x:f>
        <x:v>0.21343704590135903</x:v>
      </x:c>
      <x:c r="D69" s="40" t="n">
        <x:f>IFERROR((1+B69)/(1+B66)-1,"")</x:f>
        <x:v>0.21478692452507264</x:v>
      </x:c>
      <x:c r="E69" s="40" t="n">
        <x:f>IFERROR((1+B69)/(1+B63)-1,"")</x:f>
        <x:v>0.2776527765277652</x:v>
      </x:c>
      <x:c r="F69" s="36" t="n">
        <x:v>14.653694215499947</x:v>
      </x:c>
      <x:c r="G69" s="40" t="n">
        <x:f>IFERROR(F69/F66-1,"")</x:f>
        <x:v>0.3222113487165499</x:v>
      </x:c>
      <x:c r="H69" s="38" t="n">
        <x:v>6335.906996373479</x:v>
      </x:c>
      <x:c r="I69" s="40" t="n">
        <x:f>IFERROR(H69/H68-1,"")</x:f>
        <x:v>0.22015308457377447</x:v>
      </x:c>
      <x:c r="J69" s="40" t="n">
        <x:f>IFERROR(H69/H66-1,"")</x:f>
        <x:v>-0.08867493270987015</x:v>
      </x:c>
      <x:c r="K69" s="40" t="n">
        <x:f>IFERROR(H69/H63-1,"")</x:f>
        <x:v>-0.6100829658685053</x:v>
      </x:c>
      <x:c r="L69" s="40" t="n">
        <x:f>IFERROR(J69-J68,"")</x:f>
        <x:v>0.34602512238309047</x:v>
      </x:c>
      <x:c r="M69" s="40" t="n">
        <x:f>IFERROR(J69-D69,"")</x:f>
        <x:v>-0.3034618572349428</x:v>
      </x:c>
      <x:c r="N69" s="42" t="str">
        <x:f>IF(J69&lt;0,IF(D69&lt;0,"Down-cycle","Price up / earnings down"),IF(AND(J69&gt;0,L69&lt;0,M69&lt;-0.15),"Late-cycle warning",IF(AND(J69&gt;0,M69&gt;0),"Earnings-led expansion",IF(AND(J69&gt;0,D69&lt;0),"Potential dislocation",IF(AND(J69&gt;0,M69&lt;0),"Price ahead / rerating","Neutral")))))</x:f>
        <x:v>Price up / earnings down</x:v>
      </x:c>
      <x:c r="O69" s="40" t="n">
        <x:v>0.4834678205988562</x:v>
      </x:c>
      <x:c r="P69" s="40" t="n">
        <x:v>0.3235294117647059</x:v>
      </x:c>
      <x:c r="Q69" s="40" t="n">
        <x:v>0.9538461538461539</x:v>
      </x:c>
      <x:c r="R69" s="40" t="n">
        <x:v>0.971830985915493</x:v>
      </x:c>
      <x:c r="S69" s="40" t="n">
        <x:v>0.028169014084507005</x:v>
      </x:c>
      <x:c r="T69" s="40" t="n">
        <x:v>0.8529411764705882</x:v>
      </x:c>
      <x:c r="U69" s="40" t="n">
        <x:v>0.18064952725980965</x:v>
      </x:c>
      <x:c r="V69" s="40" t="n">
        <x:v>0.5279188706902046</x:v>
      </x:c>
      <x:c r="W69" s="64" t="str">
        <x:v>Stage 4 – Price-Led Bottom</x:v>
      </x:c>
      <x:c r="X69" s="64" t="str">
        <x:v>Rev3M -8.9%; Accel3M +48.3ppt; Stock3M +21.5%; EV/EBITDA 14.7x (97th pct); PeakRatio36M 18%; Multiple3M +32.2%; Earnings-Price Gap -30.3%; CycleHeat 53%. EBITDA is still being revised down but improving, while the stock has already turned up—typical price leadership near a bottom.</x:v>
      </x:c>
    </x:row>
    <x:row r="70">
      <x:c r="A70" s="32" t="n">
        <x:v>45107</x:v>
      </x:c>
      <x:c r="B70" s="33" t="n">
        <x:v>0.5059</x:v>
      </x:c>
      <x:c r="C70" s="40" t="n">
        <x:f>IFERROR((1+B70)/(1+B69)-1,"")</x:f>
        <x:v>0.060791772330233806</x:v>
      </x:c>
      <x:c r="D70" s="40" t="n">
        <x:f>IFERROR((1+B70)/(1+B67)-1,"")</x:f>
        <x:v>0.3002072180970472</x:v>
      </x:c>
      <x:c r="E70" s="40" t="n">
        <x:f>IFERROR((1+B70)/(1+B64)-1,"")</x:f>
        <x:v>0.5360057119543042</x:v>
      </x:c>
      <x:c r="F70" s="36" t="n">
        <x:v>13.46877168239744</x:v>
      </x:c>
      <x:c r="G70" s="40" t="n">
        <x:f>IFERROR(F70/F67-1,"")</x:f>
        <x:v>-0.10476431147627874</x:v>
      </x:c>
      <x:c r="H70" s="38" t="n">
        <x:v>8044.628260369273</x:v>
      </x:c>
      <x:c r="I70" s="40" t="n">
        <x:f>IFERROR(H70/H69-1,"")</x:f>
        <x:v>0.2696885015789887</x:v>
      </x:c>
      <x:c r="J70" s="40" t="n">
        <x:f>IFERROR(H70/H67-1,"")</x:f>
        <x:v>0.5492143416494568</x:v>
      </x:c>
      <x:c r="K70" s="40" t="n">
        <x:f>IFERROR(H70/H64-1,"")</x:f>
        <x:v>-0.29170337090960274</x:v>
      </x:c>
      <x:c r="L70" s="40" t="n">
        <x:f>IFERROR(J70-J69,"")</x:f>
        <x:v>0.637889274359327</x:v>
      </x:c>
      <x:c r="M70" s="40" t="n">
        <x:f>IFERROR(J70-D70,"")</x:f>
        <x:v>0.24900712355240961</x:v>
      </x:c>
      <x:c r="N70" s="42" t="str">
        <x:f>IF(J70&lt;0,IF(D70&lt;0,"Down-cycle","Price up / earnings down"),IF(AND(J70&gt;0,L70&lt;0,M70&lt;-0.15),"Late-cycle warning",IF(AND(J70&gt;0,M70&gt;0),"Earnings-led expansion",IF(AND(J70&gt;0,D70&lt;0),"Potential dislocation",IF(AND(J70&gt;0,M70&lt;0),"Price ahead / rerating","Neutral")))))</x:f>
        <x:v>Earnings-led expansion</x:v>
      </x:c>
      <x:c r="O70" s="40" t="n">
        <x:v>1.0920170319884386</x:v>
      </x:c>
      <x:c r="P70" s="40" t="n">
        <x:v>0.9264705882352942</x:v>
      </x:c>
      <x:c r="Q70" s="40" t="n">
        <x:v>0.9846153846153847</x:v>
      </x:c>
      <x:c r="R70" s="40" t="n">
        <x:v>0.9577464788732394</x:v>
      </x:c>
      <x:c r="S70" s="40" t="n">
        <x:v>0.04225352112676062</x:v>
      </x:c>
      <x:c r="T70" s="40" t="n">
        <x:v>0.9411764705882353</x:v>
      </x:c>
      <x:c r="U70" s="40" t="n">
        <x:v>0.22936862757746038</x:v>
      </x:c>
      <x:c r="V70" s="40" t="n">
        <x:v>0.7671045503791982</x:v>
      </x:c>
      <x:c r="W70" s="64" t="str">
        <x:v>Stage 5 – Early Recovery</x:v>
      </x:c>
      <x:c r="X70" s="64" t="str">
        <x:v>Rev3M +54.9%; Accel3M +109.2ppt; Stock3M +30.0%; EV/EBITDA 13.5x (96th pct); PeakRatio36M 23%; Multiple3M -10.5%; Earnings-Price Gap +24.9%; CycleHeat 77%. Forward EBITDA revisions have turned positive and are accelerating, but EBITDA remains well below its recent peak.</x:v>
      </x:c>
    </x:row>
    <x:row r="71">
      <x:c r="A71" s="32" t="n">
        <x:v>45138</x:v>
      </x:c>
      <x:c r="B71" s="33" t="n">
        <x:v>0.6131</x:v>
      </x:c>
      <x:c r="C71" s="40" t="n">
        <x:f>IFERROR((1+B71)/(1+B70)-1,"")</x:f>
        <x:v>0.07118666578126032</x:v>
      </x:c>
      <x:c r="D71" s="40" t="n">
        <x:f>IFERROR((1+B71)/(1+B68)-1,"")</x:f>
        <x:v>0.37883579793144717</x:v>
      </x:c>
      <x:c r="E71" s="40" t="n">
        <x:f>IFERROR((1+B71)/(1+B65)-1,"")</x:f>
        <x:v>0.3943296741291382</x:v>
      </x:c>
      <x:c r="F71" s="36" t="n">
        <x:v>9.612834295977683</x:v>
      </x:c>
      <x:c r="G71" s="40" t="n">
        <x:f>IFERROR(F71/F68-1,"")</x:f>
        <x:v>-0.37438656199128706</x:v>
      </x:c>
      <x:c r="H71" s="38" t="n">
        <x:v>9432.730750161232</x:v>
      </x:c>
      <x:c r="I71" s="40" t="n">
        <x:f>IFERROR(H71/H70-1,"")</x:f>
        <x:v>0.1725502341270695</x:v>
      </x:c>
      <x:c r="J71" s="40" t="n">
        <x:f>IFERROR(H71/H68-1,"")</x:f>
        <x:v>0.8165316390140847</x:v>
      </x:c>
      <x:c r="K71" s="40" t="n">
        <x:f>IFERROR(H71/H65-1,"")</x:f>
        <x:v>0.026885235456556078</x:v>
      </x:c>
      <x:c r="L71" s="40" t="n">
        <x:f>IFERROR(J71-J70,"")</x:f>
        <x:v>0.26731729736462784</x:v>
      </x:c>
      <x:c r="M71" s="40" t="n">
        <x:f>IFERROR(J71-D71,"")</x:f>
        <x:v>0.4376958410826375</x:v>
      </x:c>
      <x:c r="N71" s="42" t="str">
        <x:f>IF(J71&lt;0,IF(D71&lt;0,"Down-cycle","Price up / earnings down"),IF(AND(J71&gt;0,L71&lt;0,M71&lt;-0.15),"Late-cycle warning",IF(AND(J71&gt;0,M71&gt;0),"Earnings-led expansion",IF(AND(J71&gt;0,D71&lt;0),"Potential dislocation",IF(AND(J71&gt;0,M71&lt;0),"Price ahead / rerating","Neutral")))))</x:f>
        <x:v>Earnings-led expansion</x:v>
      </x:c>
      <x:c r="O71" s="40" t="n">
        <x:v>1.2512316941070454</x:v>
      </x:c>
      <x:c r="P71" s="40" t="n">
        <x:v>1</x:v>
      </x:c>
      <x:c r="Q71" s="40" t="n">
        <x:v>1</x:v>
      </x:c>
      <x:c r="R71" s="40" t="n">
        <x:v>0.9295774647887324</x:v>
      </x:c>
      <x:c r="S71" s="40" t="n">
        <x:v>0.07042253521126762</x:v>
      </x:c>
      <x:c r="T71" s="40" t="n">
        <x:v>0.9558823529411765</x:v>
      </x:c>
      <x:c r="U71" s="40" t="n">
        <x:v>0.2689462379673558</x:v>
      </x:c>
      <x:c r="V71" s="40" t="n">
        <x:v>0.8052609776304888</x:v>
      </x:c>
      <x:c r="W71" s="64" t="str">
        <x:v>Stage 5 – Early Recovery</x:v>
      </x:c>
      <x:c r="X71" s="64" t="str">
        <x:v>Rev3M +81.7%; Accel3M +125.1ppt; Stock3M +37.9%; EV/EBITDA 9.6x (93th pct); PeakRatio36M 27%; Multiple3M -37.4%; Earnings-Price Gap +43.8%; CycleHeat 81%. Forward EBITDA revisions have turned positive and are accelerating, but EBITDA remains well below its recent peak.</x:v>
      </x:c>
    </x:row>
    <x:row r="72">
      <x:c r="A72" s="32" t="n">
        <x:v>45169</x:v>
      </x:c>
      <x:c r="B72" s="33" t="n">
        <x:v>0.5922</x:v>
      </x:c>
      <x:c r="C72" s="40" t="n">
        <x:f>IFERROR((1+B72)/(1+B71)-1,"")</x:f>
        <x:v>-0.012956419316843326</x:v>
      </x:c>
      <x:c r="D72" s="40" t="n">
        <x:f>IFERROR((1+B72)/(1+B69)-1,"")</x:f>
        <x:v>0.12158354466046783</x:v>
      </x:c>
      <x:c r="E72" s="40" t="n">
        <x:f>IFERROR((1+B72)/(1+B66)-1,"")</x:f>
        <x:v>0.3624850248160192</x:v>
      </x:c>
      <x:c r="F72" s="36" t="n">
        <x:v>9.313636436020472</x:v>
      </x:c>
      <x:c r="G72" s="40" t="n">
        <x:f>IFERROR(F72/F69-1,"")</x:f>
        <x:v>-0.3644171702334984</x:v>
      </x:c>
      <x:c r="H72" s="38" t="n">
        <x:v>11208.044602614256</x:v>
      </x:c>
      <x:c r="I72" s="40" t="n">
        <x:f>IFERROR(H72/H71-1,"")</x:f>
        <x:v>0.1882078371019631</x:v>
      </x:c>
      <x:c r="J72" s="40" t="n">
        <x:f>IFERROR(H72/H69-1,"")</x:f>
        <x:v>0.7689723995363997</x:v>
      </x:c>
      <x:c r="K72" s="40" t="n">
        <x:f>IFERROR(H72/H66-1,"")</x:f>
        <x:v>0.6121088910418919</x:v>
      </x:c>
      <x:c r="L72" s="40" t="n">
        <x:f>IFERROR(J72-J71,"")</x:f>
        <x:v>-0.04755923947768492</x:v>
      </x:c>
      <x:c r="M72" s="40" t="n">
        <x:f>IFERROR(J72-D72,"")</x:f>
        <x:v>0.6473888548759319</x:v>
      </x:c>
      <x:c r="N72" s="42" t="str">
        <x:f>IF(J72&lt;0,IF(D72&lt;0,"Down-cycle","Price up / earnings down"),IF(AND(J72&gt;0,L72&lt;0,M72&lt;-0.15),"Late-cycle warning",IF(AND(J72&gt;0,M72&gt;0),"Earnings-led expansion",IF(AND(J72&gt;0,D72&lt;0),"Potential dislocation",IF(AND(J72&gt;0,M72&lt;0),"Price ahead / rerating","Neutral")))))</x:f>
        <x:v>Earnings-led expansion</x:v>
      </x:c>
      <x:c r="O72" s="40" t="n">
        <x:v>0.8576473322462699</x:v>
      </x:c>
      <x:c r="P72" s="40" t="n">
        <x:v>0.9852941176470589</x:v>
      </x:c>
      <x:c r="Q72" s="40" t="n">
        <x:v>0.9692307692307692</x:v>
      </x:c>
      <x:c r="R72" s="40" t="n">
        <x:v>0.9154929577464789</x:v>
      </x:c>
      <x:c r="S72" s="40" t="n">
        <x:v>0.08450704225352113</x:v>
      </x:c>
      <x:c r="T72" s="40" t="n">
        <x:v>0.7352941176470589</x:v>
      </x:c>
      <x:c r="U72" s="40" t="n">
        <x:v>0.31956402771190173</x:v>
      </x:c>
      <x:c r="V72" s="40" t="n">
        <x:v>0.7511208654642789</x:v>
      </x:c>
      <x:c r="W72" s="64" t="str">
        <x:v>Stage 5 – Early Recovery</x:v>
      </x:c>
      <x:c r="X72" s="64" t="str">
        <x:v>Rev3M +76.9%; Accel3M +85.8ppt; Stock3M +12.2%; EV/EBITDA 9.3x (92th pct); PeakRatio36M 32%; Multiple3M -36.4%; Earnings-Price Gap +64.7%; CycleHeat 75%. Forward EBITDA revisions have turned positive and are accelerating, but EBITDA remains well below its recent peak.</x:v>
      </x:c>
    </x:row>
    <x:row r="73">
      <x:c r="A73" s="32" t="n">
        <x:v>45199</x:v>
      </x:c>
      <x:c r="B73" s="33" t="n">
        <x:v>0.4993</x:v>
      </x:c>
      <x:c r="C73" s="40" t="n">
        <x:f>IFERROR((1+B73)/(1+B72)-1,"")</x:f>
        <x:v>-0.058346941339027736</x:v>
      </x:c>
      <x:c r="D73" s="40" t="n">
        <x:f>IFERROR((1+B73)/(1+B70)-1,"")</x:f>
        <x:v>-0.0043827611395178545</x:v>
      </x:c>
      <x:c r="E73" s="40" t="n">
        <x:f>IFERROR((1+B73)/(1+B67)-1,"")</x:f>
        <x:v>0.2945087204282508</x:v>
      </x:c>
      <x:c r="F73" s="36" t="n">
        <x:v>8.929141681245353</x:v>
      </x:c>
      <x:c r="G73" s="40" t="n">
        <x:f>IFERROR(F73/F70-1,"")</x:f>
        <x:v>-0.33704855262228584</x:v>
      </x:c>
      <x:c r="H73" s="38" t="n">
        <x:v>11663.065509599448</x:v>
      </x:c>
      <x:c r="I73" s="40" t="n">
        <x:f>IFERROR(H73/H72-1,"")</x:f>
        <x:v>0.04059770665786422</x:v>
      </x:c>
      <x:c r="J73" s="40" t="n">
        <x:f>IFERROR(H73/H70-1,"")</x:f>
        <x:v>0.4497954575546885</x:v>
      </x:c>
      <x:c r="K73" s="40" t="n">
        <x:f>IFERROR(H73/H67-1,"")</x:f>
        <x:v>1.2460439153019598</x:v>
      </x:c>
      <x:c r="L73" s="40" t="n">
        <x:f>IFERROR(J73-J72,"")</x:f>
        <x:v>-0.3191769419817112</x:v>
      </x:c>
      <x:c r="M73" s="40" t="n">
        <x:f>IFERROR(J73-D73,"")</x:f>
        <x:v>0.4541782186942064</x:v>
      </x:c>
      <x:c r="N73" s="42" t="str">
        <x:f>IF(J73&lt;0,IF(D73&lt;0,"Down-cycle","Price up / earnings down"),IF(AND(J73&gt;0,L73&lt;0,M73&lt;-0.15),"Late-cycle warning",IF(AND(J73&gt;0,M73&gt;0),"Earnings-led expansion",IF(AND(J73&gt;0,D73&lt;0),"Potential dislocation",IF(AND(J73&gt;0,M73&lt;0),"Price ahead / rerating","Neutral")))))</x:f>
        <x:v>Earnings-led expansion</x:v>
      </x:c>
      <x:c r="O73" s="40" t="n">
        <x:v>-0.09941888409476829</x:v>
      </x:c>
      <x:c r="P73" s="40" t="n">
        <x:v>0.9117647058823529</x:v>
      </x:c>
      <x:c r="Q73" s="40" t="n">
        <x:v>0.38461538461538464</x:v>
      </x:c>
      <x:c r="R73" s="40" t="n">
        <x:v>0.9014084507042254</x:v>
      </x:c>
      <x:c r="S73" s="40" t="n">
        <x:v>0.09859154929577463</x:v>
      </x:c>
      <x:c r="T73" s="40" t="n">
        <x:v>0.47058823529411764</x:v>
      </x:c>
      <x:c r="U73" s="40" t="n">
        <x:v>0.3325375943673551</x:v>
      </x:c>
      <x:c r="V73" s="40" t="n">
        <x:v>0.5291074501306481</x:v>
      </x:c>
      <x:c r="W73" s="64" t="str">
        <x:v>Stage 10 – Price-Led Roll-over</x:v>
      </x:c>
      <x:c r="X73" s="64" t="str">
        <x:v>Rev3M +45.0%; Accel3M -9.9ppt; Stock3M -0.4%; EV/EBITDA 8.9x (90th pct); PeakRatio36M 33%; Multiple3M -33.7%; Earnings-Price Gap +45.4%; CycleHeat 53%. The stock has turned negative before forward EBITDA revisions have turned negative; price may be leading a future earnings slowdown.</x:v>
      </x:c>
    </x:row>
    <x:row r="74">
      <x:c r="A74" s="32" t="n">
        <x:v>45230</x:v>
      </x:c>
      <x:c r="B74" s="33" t="n">
        <x:v>0.5203</x:v>
      </x:c>
      <x:c r="C74" s="40" t="n">
        <x:f>IFERROR((1+B74)/(1+B73)-1,"")</x:f>
        <x:v>0.014006536383645685</x:v>
      </x:c>
      <x:c r="D74" s="40" t="n">
        <x:f>IFERROR((1+B74)/(1+B71)-1,"")</x:f>
        <x:v>-0.05752898146426133</x:v>
      </x:c>
      <x:c r="E74" s="40" t="n">
        <x:f>IFERROR((1+B74)/(1+B68)-1,"")</x:f>
        <x:v>0.29951277886998895</x:v>
      </x:c>
      <x:c r="F74" s="36" t="n">
        <x:v>6.30602644240943</x:v>
      </x:c>
      <x:c r="G74" s="40" t="n">
        <x:f>IFERROR(F74/F71-1,"")</x:f>
        <x:v>-0.3439992568010797</x:v>
      </x:c>
      <x:c r="H74" s="38" t="n">
        <x:v>15823.941753058738</x:v>
      </x:c>
      <x:c r="I74" s="40" t="n">
        <x:f>IFERROR(H74/H73-1,"")</x:f>
        <x:v>0.3567566554465995</x:v>
      </x:c>
      <x:c r="J74" s="40" t="n">
        <x:f>IFERROR(H74/H71-1,"")</x:f>
        <x:v>0.6775568149009514</x:v>
      </x:c>
      <x:c r="K74" s="40" t="n">
        <x:f>IFERROR(H74/H68-1,"")</x:f>
        <x:v>2.0473350305112725</x:v>
      </x:c>
      <x:c r="L74" s="40" t="n">
        <x:f>IFERROR(J74-J73,"")</x:f>
        <x:v>0.2277613573462629</x:v>
      </x:c>
      <x:c r="M74" s="40" t="n">
        <x:f>IFERROR(J74-D74,"")</x:f>
        <x:v>0.7350857963652128</x:v>
      </x:c>
      <x:c r="N74" s="42" t="str">
        <x:f>IF(J74&lt;0,IF(D74&lt;0,"Down-cycle","Price up / earnings down"),IF(AND(J74&gt;0,L74&lt;0,M74&lt;-0.15),"Late-cycle warning",IF(AND(J74&gt;0,M74&gt;0),"Earnings-led expansion",IF(AND(J74&gt;0,D74&lt;0),"Potential dislocation",IF(AND(J74&gt;0,M74&lt;0),"Price ahead / rerating","Neutral")))))</x:f>
        <x:v>Earnings-led expansion</x:v>
      </x:c>
      <x:c r="O74" s="40" t="n">
        <x:v>-0.13897482411313322</x:v>
      </x:c>
      <x:c r="P74" s="40" t="n">
        <x:v>0.9705882352941176</x:v>
      </x:c>
      <x:c r="Q74" s="40" t="n">
        <x:v>0.3076923076923077</x:v>
      </x:c>
      <x:c r="R74" s="40" t="n">
        <x:v>0.8450704225352113</x:v>
      </x:c>
      <x:c r="S74" s="40" t="n">
        <x:v>0.15492957746478875</x:v>
      </x:c>
      <x:c r="T74" s="40" t="n">
        <x:v>0.38235294117647056</x:v>
      </x:c>
      <x:c r="U74" s="40" t="n">
        <x:v>0.45117259434411067</x:v>
      </x:c>
      <x:c r="V74" s="40" t="n">
        <x:v>0.52408546300427</x:v>
      </x:c>
      <x:c r="W74" s="64" t="str">
        <x:v>Stage 10 – Price-Led Roll-over</x:v>
      </x:c>
      <x:c r="X74" s="64" t="str">
        <x:v>Rev3M +67.8%; Accel3M -13.9ppt; Stock3M -5.8%; EV/EBITDA 6.3x (85th pct); PeakRatio36M 45%; Multiple3M -34.4%; Earnings-Price Gap +73.5%; CycleHeat 52%. The stock has turned negative before forward EBITDA revisions have turned negative; price may be leading a future earnings slowdown.</x:v>
      </x:c>
    </x:row>
    <x:row r="75">
      <x:c r="A75" s="32" t="n">
        <x:v>45260</x:v>
      </x:c>
      <x:c r="B75" s="33" t="n">
        <x:v>0.7503</x:v>
      </x:c>
      <x:c r="C75" s="40" t="n">
        <x:f>IFERROR((1+B75)/(1+B74)-1,"")</x:f>
        <x:v>0.15128593040847194</x:v>
      </x:c>
      <x:c r="D75" s="40" t="n">
        <x:f>IFERROR((1+B75)/(1+B72)-1,"")</x:f>
        <x:v>0.09929657078256504</x:v>
      </x:c>
      <x:c r="E75" s="40" t="n">
        <x:f>IFERROR((1+B75)/(1+B69)-1,"")</x:f>
        <x:v>0.23295294449140602</x:v>
      </x:c>
      <x:c r="F75" s="36" t="n">
        <x:v>6.508605706627383</x:v>
      </x:c>
      <x:c r="G75" s="40" t="n">
        <x:f>IFERROR(F75/F72-1,"")</x:f>
        <x:v>-0.3011746001319783</x:v>
      </x:c>
      <x:c r="H75" s="38" t="n">
        <x:v>18068.588355068532</x:v>
      </x:c>
      <x:c r="I75" s="40" t="n">
        <x:f>IFERROR(H75/H74-1,"")</x:f>
        <x:v>0.1418512932516267</x:v>
      </x:c>
      <x:c r="J75" s="40" t="n">
        <x:f>IFERROR(H75/H72-1,"")</x:f>
        <x:v>0.6121088910418919</x:v>
      </x:c>
      <x:c r="K75" s="40" t="n">
        <x:f>IFERROR(H75/H69-1,"")</x:f>
        <x:v>1.8517761333003402</x:v>
      </x:c>
      <x:c r="L75" s="40" t="n">
        <x:f>IFERROR(J75-J74,"")</x:f>
        <x:v>-0.06544792385905951</x:v>
      </x:c>
      <x:c r="M75" s="40" t="n">
        <x:f>IFERROR(J75-D75,"")</x:f>
        <x:v>0.5128123202593269</x:v>
      </x:c>
      <x:c r="N75" s="42" t="str">
        <x:f>IF(J75&lt;0,IF(D75&lt;0,"Down-cycle","Price up / earnings down"),IF(AND(J75&gt;0,L75&lt;0,M75&lt;-0.15),"Late-cycle warning",IF(AND(J75&gt;0,M75&gt;0),"Earnings-led expansion",IF(AND(J75&gt;0,D75&lt;0),"Potential dislocation",IF(AND(J75&gt;0,M75&lt;0),"Price ahead / rerating","Neutral")))))</x:f>
        <x:v>Earnings-led expansion</x:v>
      </x:c>
      <x:c r="O75" s="40" t="n">
        <x:v>-0.1568635084945078</x:v>
      </x:c>
      <x:c r="P75" s="40" t="n">
        <x:v>0.9485294117647058</x:v>
      </x:c>
      <x:c r="Q75" s="40" t="n">
        <x:v>0.26153846153846155</x:v>
      </x:c>
      <x:c r="R75" s="40" t="n">
        <x:v>0.8591549295774648</x:v>
      </x:c>
      <x:c r="S75" s="40" t="n">
        <x:v>0.14084507042253525</x:v>
      </x:c>
      <x:c r="T75" s="40" t="n">
        <x:v>0.7058823529411765</x:v>
      </x:c>
      <x:c r="U75" s="40" t="n">
        <x:v>0.5151720103315143</x:v>
      </x:c>
      <x:c r="V75" s="40" t="n">
        <x:v>0.5667153941750048</x:v>
      </x:c>
      <x:c r="W75" s="64" t="str">
        <x:v>Stage 13 – Mixed / Transition</x:v>
      </x:c>
      <x:c r="X75" s="64" t="str">
        <x:v>Rev3M +61.2%; Accel3M -15.7ppt; Stock3M +9.9%; EV/EBITDA 6.5x (86th pct); PeakRatio36M 52%; Multiple3M -30.1%; Earnings-Price Gap +51.3%; CycleHeat 57%. Signals do not fit one dominant state; treat as a transition and require confirmation from the next 1–3 monthly observations.</x:v>
      </x:c>
    </x:row>
    <x:row r="76">
      <x:c r="A76" s="32" t="n">
        <x:v>45291</x:v>
      </x:c>
      <x:c r="B76" s="33" t="n">
        <x:v>0.8497</x:v>
      </x:c>
      <x:c r="C76" s="40" t="n">
        <x:f>IFERROR((1+B76)/(1+B75)-1,"")</x:f>
        <x:v>0.05679026452608116</x:v>
      </x:c>
      <x:c r="D76" s="40" t="n">
        <x:f>IFERROR((1+B76)/(1+B73)-1,"")</x:f>
        <x:v>0.23370906422997395</x:v>
      </x:c>
      <x:c r="E76" s="40" t="n">
        <x:f>IFERROR((1+B76)/(1+B70)-1,"")</x:f>
        <x:v>0.2283020120857957</x:v>
      </x:c>
      <x:c r="F76" s="36" t="n">
        <x:v>6.647261224975233</x:v>
      </x:c>
      <x:c r="G76" s="40" t="n">
        <x:f>IFERROR(F76/F73-1,"")</x:f>
        <x:v>-0.25555428928437207</x:v>
      </x:c>
      <x:c r="H76" s="38" t="n">
        <x:v>18802.131604829305</x:v>
      </x:c>
      <x:c r="I76" s="40" t="n">
        <x:f>IFERROR(H76/H75-1,"")</x:f>
        <x:v>0.04059770665786422</x:v>
      </x:c>
      <x:c r="J76" s="40" t="n">
        <x:f>IFERROR(H76/H73-1,"")</x:f>
        <x:v>0.6121088910418919</x:v>
      </x:c>
      <x:c r="K76" s="40" t="n">
        <x:f>IFERROR(H76/H70-1,"")</x:f>
        <x:v>1.3372281473160612</x:v>
      </x:c>
      <x:c r="L76" s="40" t="n">
        <x:f>IFERROR(J76-J75,"")</x:f>
        <x:v>0</x:v>
      </x:c>
      <x:c r="M76" s="40" t="n">
        <x:f>IFERROR(J76-D76,"")</x:f>
        <x:v>0.37839982681191797</x:v>
      </x:c>
      <x:c r="N76" s="42" t="str">
        <x:f>IF(J76&lt;0,IF(D76&lt;0,"Down-cycle","Price up / earnings down"),IF(AND(J76&gt;0,L76&lt;0,M76&lt;-0.15),"Late-cycle warning",IF(AND(J76&gt;0,M76&gt;0),"Earnings-led expansion",IF(AND(J76&gt;0,D76&lt;0),"Potential dislocation",IF(AND(J76&gt;0,M76&lt;0),"Price ahead / rerating","Neutral")))))</x:f>
        <x:v>Earnings-led expansion</x:v>
      </x:c>
      <x:c r="O76" s="40" t="n">
        <x:v>0.1623134334872034</x:v>
      </x:c>
      <x:c r="P76" s="40" t="n">
        <x:v>0.9485294117647058</x:v>
      </x:c>
      <x:c r="Q76" s="40" t="n">
        <x:v>0.7538461538461538</x:v>
      </x:c>
      <x:c r="R76" s="40" t="n">
        <x:v>0.8732394366197183</x:v>
      </x:c>
      <x:c r="S76" s="40" t="n">
        <x:v>0.12676056338028174</x:v>
      </x:c>
      <x:c r="T76" s="40" t="n">
        <x:v>0.8970588235294118</x:v>
      </x:c>
      <x:c r="U76" s="40" t="n">
        <x:v>0.5360868124852953</x:v>
      </x:c>
      <x:c r="V76" s="40" t="n">
        <x:v>0.7252107099611242</x:v>
      </x:c>
      <x:c r="W76" s="64" t="str">
        <x:v>Stage 5 – Early Recovery</x:v>
      </x:c>
      <x:c r="X76" s="64" t="str">
        <x:v>Rev3M +61.2%; Accel3M +16.2ppt; Stock3M +23.4%; EV/EBITDA 6.6x (87th pct); PeakRatio36M 54%; Multiple3M -25.6%; Earnings-Price Gap +37.8%; CycleHeat 73%. Forward EBITDA revisions have turned positive and are accelerating, but EBITDA remains well below its recent peak.</x:v>
      </x:c>
    </x:row>
    <x:row r="77">
      <x:c r="A77" s="32" t="n">
        <x:v>45322</x:v>
      </x:c>
      <x:c r="B77" s="33" t="n">
        <x:v>0.7608</x:v>
      </x:c>
      <x:c r="C77" s="40" t="n">
        <x:f>IFERROR((1+B77)/(1+B76)-1,"")</x:f>
        <x:v>-0.04806184786722156</x:v>
      </x:c>
      <x:c r="D77" s="40" t="n">
        <x:f>IFERROR((1+B77)/(1+B74)-1,"")</x:f>
        <x:v>0.15819246201407622</x:v>
      </x:c>
      <x:c r="E77" s="40" t="n">
        <x:f>IFERROR((1+B77)/(1+B71)-1,"")</x:f>
        <x:v>0.09156282933482118</x:v>
      </x:c>
      <x:c r="F77" s="36" t="n">
        <x:v>5.0009575690914385</x:v>
      </x:c>
      <x:c r="G77" s="40" t="n">
        <x:f>IFERROR(F77/F74-1,"")</x:f>
        <x:v>-0.20695581999801227</x:v>
      </x:c>
      <x:c r="H77" s="38" t="n">
        <x:v>25509.91719143501</x:v>
      </x:c>
      <x:c r="I77" s="40" t="n">
        <x:f>IFERROR(H77/H76-1,"")</x:f>
        <x:v>0.3567566554465995</x:v>
      </x:c>
      <x:c r="J77" s="40" t="n">
        <x:f>IFERROR(H77/H74-1,"")</x:f>
        <x:v>0.6121088910418919</x:v>
      </x:c>
      <x:c r="K77" s="40" t="n">
        <x:f>IFERROR(H77/H71-1,"")</x:f>
        <x:v>1.7044042565297408</x:v>
      </x:c>
      <x:c r="L77" s="40" t="n">
        <x:f>IFERROR(J77-J76,"")</x:f>
        <x:v>0</x:v>
      </x:c>
      <x:c r="M77" s="40" t="n">
        <x:f>IFERROR(J77-D77,"")</x:f>
        <x:v>0.4539164290278157</x:v>
      </x:c>
      <x:c r="N77" s="42" t="str">
        <x:f>IF(J77&lt;0,IF(D77&lt;0,"Down-cycle","Price up / earnings down"),IF(AND(J77&gt;0,L77&lt;0,M77&lt;-0.15),"Late-cycle warning",IF(AND(J77&gt;0,M77&gt;0),"Earnings-led expansion",IF(AND(J77&gt;0,D77&lt;0),"Potential dislocation",IF(AND(J77&gt;0,M77&lt;0),"Price ahead / rerating","Neutral")))))</x:f>
        <x:v>Earnings-led expansion</x:v>
      </x:c>
      <x:c r="O77" s="40" t="n">
        <x:v>-0.06544792385905951</x:v>
      </x:c>
      <x:c r="P77" s="40" t="n">
        <x:v>0.9485294117647058</x:v>
      </x:c>
      <x:c r="Q77" s="40" t="n">
        <x:v>0.45021214424509937</x:v>
      </x:c>
      <x:c r="R77" s="40" t="n">
        <x:v>0.7183098591549296</x:v>
      </x:c>
      <x:c r="S77" s="40" t="n">
        <x:v>0.2816901408450704</x:v>
      </x:c>
      <x:c r="T77" s="40" t="n">
        <x:v>0.7855977297934938</x:v>
      </x:c>
      <x:c r="U77" s="40" t="n">
        <x:v>0.7273393507365776</x:v>
      </x:c>
      <x:c r="V77" s="40" t="n">
        <x:v>0.6579959043066348</x:v>
      </x:c>
      <x:c r="W77" s="64" t="str">
        <x:v>Stage 13 – Mixed / Transition</x:v>
      </x:c>
      <x:c r="X77" s="64" t="str">
        <x:v>Rev3M +61.2%; Accel3M -6.5ppt; Stock3M +15.8%; EV/EBITDA 5.0x (72th pct); PeakRatio36M 73%; Multiple3M -20.7%; Earnings-Price Gap +45.4%; CycleHeat 66%. Signals do not fit one dominant state; treat as a transition and require confirmation from the next 1–3 monthly observations.</x:v>
      </x:c>
    </x:row>
    <x:row r="78">
      <x:c r="A78" s="32" t="n">
        <x:v>45351</x:v>
      </x:c>
      <x:c r="B78" s="33" t="n">
        <x:v>1.0418</x:v>
      </x:c>
      <x:c r="C78" s="40" t="n">
        <x:f>IFERROR((1+B78)/(1+B77)-1,"")</x:f>
        <x:v>0.15958655156746948</x:v>
      </x:c>
      <x:c r="D78" s="40" t="n">
        <x:f>IFERROR((1+B78)/(1+B75)-1,"")</x:f>
        <x:v>0.1665428783637093</x:v>
      </x:c>
      <x:c r="E78" s="40" t="n">
        <x:f>IFERROR((1+B78)/(1+B72)-1,"")</x:f>
        <x:v>0.2823765858560483</x:v>
      </x:c>
      <x:c r="F78" s="36" t="n">
        <x:v>5.271571827419493</x:v>
      </x:c>
      <x:c r="G78" s="40" t="n">
        <x:f>IFERROR(F78/F75-1,"")</x:f>
        <x:v>-0.19006127194773548</x:v>
      </x:c>
      <x:c r="H78" s="38" t="n">
        <x:v>25509.91719143501</x:v>
      </x:c>
      <x:c r="I78" s="40" t="n">
        <x:f>IFERROR(H78/H77-1,"")</x:f>
        <x:v>0</x:v>
      </x:c>
      <x:c r="J78" s="40" t="n">
        <x:f>IFERROR(H78/H75-1,"")</x:f>
        <x:v>0.41183786415052537</x:v>
      </x:c>
      <x:c r="K78" s="40" t="n">
        <x:f>IFERROR(H78/H72-1,"")</x:f>
        <x:v>1.276036373506657</x:v>
      </x:c>
      <x:c r="L78" s="40" t="n">
        <x:f>IFERROR(J78-J77,"")</x:f>
        <x:v>-0.20027102689136655</x:v>
      </x:c>
      <x:c r="M78" s="40" t="n">
        <x:f>IFERROR(J78-D78,"")</x:f>
        <x:v>0.24529498578681608</x:v>
      </x:c>
      <x:c r="N78" s="42" t="str">
        <x:f>IF(J78&lt;0,IF(D78&lt;0,"Down-cycle","Price up / earnings down"),IF(AND(J78&gt;0,L78&lt;0,M78&lt;-0.15),"Late-cycle warning",IF(AND(J78&gt;0,M78&gt;0),"Earnings-led expansion",IF(AND(J78&gt;0,D78&lt;0),"Potential dislocation",IF(AND(J78&gt;0,M78&lt;0),"Price ahead / rerating","Neutral")))))</x:f>
        <x:v>Earnings-led expansion</x:v>
      </x:c>
      <x:c r="O78" s="40" t="n">
        <x:v>-0.20027102689136655</x:v>
      </x:c>
      <x:c r="P78" s="40" t="n">
        <x:v>0.9043142330097766</x:v>
      </x:c>
      <x:c r="Q78" s="40" t="n">
        <x:v>0.1704520464909</x:v>
      </x:c>
      <x:c r="R78" s="40" t="n">
        <x:v>0.7746478873239436</x:v>
      </x:c>
      <x:c r="S78" s="40" t="n">
        <x:v>0.22535211267605637</x:v>
      </x:c>
      <x:c r="T78" s="40" t="n">
        <x:v>0.7916566443617414</x:v>
      </x:c>
      <x:c r="U78" s="40" t="n">
        <x:v>0.7273393507365776</x:v>
      </x:c>
      <x:c r="V78" s="40" t="n">
        <x:v>0.5625247445837064</x:v>
      </x:c>
      <x:c r="W78" s="64" t="str">
        <x:v>Stage 13 – Mixed / Transition</x:v>
      </x:c>
      <x:c r="X78" s="64" t="str">
        <x:v>Rev3M +41.2%; Accel3M -20.0ppt; Stock3M +16.7%; EV/EBITDA 5.3x (77th pct); PeakRatio36M 73%; Multiple3M -19.0%; Earnings-Price Gap +24.5%; CycleHeat 56%. Signals do not fit one dominant state; treat as a transition and require confirmation from the next 1–3 monthly observations.</x:v>
      </x:c>
    </x:row>
    <x:row r="79">
      <x:c r="A79" s="32" t="n">
        <x:v>45382</x:v>
      </x:c>
      <x:c r="B79" s="33" t="n">
        <x:v>1.3922</x:v>
      </x:c>
      <x:c r="C79" s="40" t="n">
        <x:f>IFERROR((1+B79)/(1+B78)-1,"")</x:f>
        <x:v>0.17161328239788398</x:v>
      </x:c>
      <x:c r="D79" s="40" t="n">
        <x:f>IFERROR((1+B79)/(1+B76)-1,"")</x:f>
        <x:v>0.2932908039141482</x:v>
      </x:c>
      <x:c r="E79" s="40" t="n">
        <x:f>IFERROR((1+B79)/(1+B73)-1,"")</x:f>
        <x:v>0.5955445874741545</x:v>
      </x:c>
      <x:c r="F79" s="36" t="n">
        <x:v>5.271571827419493</x:v>
      </x:c>
      <x:c r="G79" s="40" t="n">
        <x:f>IFERROR(F79/F76-1,"")</x:f>
        <x:v>-0.20695581999801227</x:v>
      </x:c>
      <x:c r="H79" s="38" t="n">
        <x:v>26900.036425158112</x:v>
      </x:c>
      <x:c r="I79" s="40" t="n">
        <x:f>IFERROR(H79/H78-1,"")</x:f>
        <x:v>0.054493286798666496</x:v>
      </x:c>
      <x:c r="J79" s="40" t="n">
        <x:f>IFERROR(H79/H76-1,"")</x:f>
        <x:v>0.4306907849878505</x:v>
      </x:c>
      <x:c r="K79" s="40" t="n">
        <x:f>IFERROR(H79/H73-1,"")</x:f>
        <x:v>1.3064293348106175</x:v>
      </x:c>
      <x:c r="L79" s="40" t="n">
        <x:f>IFERROR(J79-J78,"")</x:f>
        <x:v>0.01885292083732515</x:v>
      </x:c>
      <x:c r="M79" s="40" t="n">
        <x:f>IFERROR(J79-D79,"")</x:f>
        <x:v>0.13739998107370233</x:v>
      </x:c>
      <x:c r="N79" s="42" t="str">
        <x:f>IF(J79&lt;0,IF(D79&lt;0,"Down-cycle","Price up / earnings down"),IF(AND(J79&gt;0,L79&lt;0,M79&lt;-0.15),"Late-cycle warning",IF(AND(J79&gt;0,M79&gt;0),"Earnings-led expansion",IF(AND(J79&gt;0,D79&lt;0),"Potential dislocation",IF(AND(J79&gt;0,M79&lt;0),"Price ahead / rerating","Neutral")))))</x:f>
        <x:v>Earnings-led expansion</x:v>
      </x:c>
      <x:c r="O79" s="40" t="n">
        <x:v>-0.1814181060540414</x:v>
      </x:c>
      <x:c r="P79" s="40" t="n">
        <x:v>0.9080147620125429</x:v>
      </x:c>
      <x:c r="Q79" s="40" t="n">
        <x:v>0.21341870540770158</x:v>
      </x:c>
      <x:c r="R79" s="40" t="n">
        <x:v>0.7746478873239436</x:v>
      </x:c>
      <x:c r="S79" s="40" t="n">
        <x:v>0.22535211267605637</x:v>
      </x:c>
      <x:c r="T79" s="40" t="n">
        <x:v>0.9237059035914441</x:v>
      </x:c>
      <x:c r="U79" s="40" t="n">
        <x:v>0.7669744625762218</x:v>
      </x:c>
      <x:c r="V79" s="40" t="n">
        <x:v>0.6009714463098155</x:v>
      </x:c>
      <x:c r="W79" s="64" t="str">
        <x:v>Stage 13 – Mixed / Transition</x:v>
      </x:c>
      <x:c r="X79" s="64" t="str">
        <x:v>Rev3M +43.1%; Accel3M -18.1ppt; Stock3M +29.3%; EV/EBITDA 5.3x (77th pct); PeakRatio36M 77%; Multiple3M -20.7%; Earnings-Price Gap +13.7%; CycleHeat 60%. Signals do not fit one dominant state; treat as a transition and require confirmation from the next 1–3 monthly observations.</x:v>
      </x:c>
    </x:row>
    <x:row r="80">
      <x:c r="A80" s="32" t="n">
        <x:v>45412</x:v>
      </x:c>
      <x:c r="B80" s="33" t="n">
        <x:v>1.2771</x:v>
      </x:c>
      <x:c r="C80" s="40" t="n">
        <x:f>IFERROR((1+B80)/(1+B79)-1,"")</x:f>
        <x:v>-0.048114706128250195</x:v>
      </x:c>
      <x:c r="D80" s="40" t="n">
        <x:f>IFERROR((1+B80)/(1+B77)-1,"")</x:f>
        <x:v>0.29321899136756</x:v>
      </x:c>
      <x:c r="E80" s="40" t="n">
        <x:f>IFERROR((1+B80)/(1+B74)-1,"")</x:f>
        <x:v>0.4977964875353549</x:v>
      </x:c>
      <x:c r="F80" s="36" t="n">
        <x:v>4.029179722332032</x:v>
      </x:c>
      <x:c r="G80" s="40" t="n">
        <x:f>IFERROR(F80/F77-1,"")</x:f>
        <x:v>-0.19431835470180903</x:v>
      </x:c>
      <x:c r="H80" s="38" t="n">
        <x:v>33260.451861394075</x:v>
      </x:c>
      <x:c r="I80" s="40" t="n">
        <x:f>IFERROR(H80/H79-1,"")</x:f>
        <x:v>0.23644635032119954</x:v>
      </x:c>
      <x:c r="J80" s="40" t="n">
        <x:f>IFERROR(H80/H77-1,"")</x:f>
        <x:v>0.3038243759004171</x:v>
      </x:c>
      <x:c r="K80" s="40" t="n">
        <x:f>IFERROR(H80/H74-1,"")</x:f>
        <x:v>1.101906868746208</x:v>
      </x:c>
      <x:c r="L80" s="40" t="n">
        <x:f>IFERROR(J80-J79,"")</x:f>
        <x:v>-0.1268664090874334</x:v>
      </x:c>
      <x:c r="M80" s="40" t="n">
        <x:f>IFERROR(J80-D80,"")</x:f>
        <x:v>0.010605384532857087</x:v>
      </x:c>
      <x:c r="N80" s="42" t="str">
        <x:f>IF(J80&lt;0,IF(D80&lt;0,"Down-cycle","Price up / earnings down"),IF(AND(J80&gt;0,L80&lt;0,M80&lt;-0.15),"Late-cycle warning",IF(AND(J80&gt;0,M80&gt;0),"Earnings-led expansion",IF(AND(J80&gt;0,D80&lt;0),"Potential dislocation",IF(AND(J80&gt;0,M80&lt;0),"Price ahead / rerating","Neutral")))))</x:f>
        <x:v>Earnings-led expansion</x:v>
      </x:c>
      <x:c r="O80" s="40" t="n">
        <x:v>-0.3082845151414748</x:v>
      </x:c>
      <x:c r="P80" s="40" t="n">
        <x:v>0.8676470588235295</x:v>
      </x:c>
      <x:c r="Q80" s="40" t="n">
        <x:v>0.051484760054656575</x:v>
      </x:c>
      <x:c r="R80" s="40" t="n">
        <x:v>0.5492957746478874</x:v>
      </x:c>
      <x:c r="S80" s="40" t="n">
        <x:v>0.45070422535211263</x:v>
      </x:c>
      <x:c r="T80" s="40" t="n">
        <x:v>0.923665934542777</x:v>
      </x:c>
      <x:c r="U80" s="40" t="n">
        <x:v>0.9483227750419329</x:v>
      </x:c>
      <x:c r="V80" s="40" t="n">
        <x:v>0.5914216925808774</x:v>
      </x:c>
      <x:c r="W80" s="64" t="str">
        <x:v>Stage 13 – Mixed / Transition</x:v>
      </x:c>
      <x:c r="X80" s="64" t="str">
        <x:v>Rev3M +30.4%; Accel3M -30.8ppt; Stock3M +29.3%; EV/EBITDA 4.0x (55th pct); PeakRatio36M 95%; Multiple3M -19.4%; Earnings-Price Gap +1.1%; CycleHeat 59%. Signals do not fit one dominant state; treat as a transition and require confirmation from the next 1–3 monthly observations.</x:v>
      </x:c>
    </x:row>
    <x:row r="81">
      <x:c r="A81" s="32" t="n">
        <x:v>45443</x:v>
      </x:c>
      <x:c r="B81" s="33" t="n">
        <x:v>1.4732</x:v>
      </x:c>
      <x:c r="C81" s="40" t="n">
        <x:f>IFERROR((1+B81)/(1+B80)-1,"")</x:f>
        <x:v>0.08611830837468726</x:v>
      </x:c>
      <x:c r="D81" s="40" t="n">
        <x:f>IFERROR((1+B81)/(1+B78)-1,"")</x:f>
        <x:v>0.2112841610343814</x:v>
      </x:c>
      <x:c r="E81" s="40" t="n">
        <x:f>IFERROR((1+B81)/(1+B75)-1,"")</x:f>
        <x:v>0.41301491172941796</x:v>
      </x:c>
      <x:c r="F81" s="36" t="n">
        <x:v>3.883253734763982</x:v>
      </x:c>
      <x:c r="G81" s="40" t="n">
        <x:f>IFERROR(F81/F78-1,"")</x:f>
        <x:v>-0.26335941880452607</x:v>
      </x:c>
      <x:c r="H81" s="38" t="n">
        <x:v>41124.76431405479</x:v>
      </x:c>
      <x:c r="I81" s="40" t="n">
        <x:f>IFERROR(H81/H80-1,"")</x:f>
        <x:v>0.23644635032120376</x:v>
      </x:c>
      <x:c r="J81" s="40" t="n">
        <x:f>IFERROR(H81/H78-1,"")</x:f>
        <x:v>0.6121088910418917</x:v>
      </x:c>
      <x:c r="K81" s="40" t="n">
        <x:f>IFERROR(H81/H75-1,"")</x:f>
        <x:v>1.2760363735066567</x:v>
      </x:c>
      <x:c r="L81" s="40" t="n">
        <x:f>IFERROR(J81-J80,"")</x:f>
        <x:v>0.3082845151414746</x:v>
      </x:c>
      <x:c r="M81" s="40" t="n">
        <x:f>IFERROR(J81-D81,"")</x:f>
        <x:v>0.4008247300075103</x:v>
      </x:c>
      <x:c r="N81" s="42" t="str">
        <x:f>IF(J81&lt;0,IF(D81&lt;0,"Down-cycle","Price up / earnings down"),IF(AND(J81&gt;0,L81&lt;0,M81&lt;-0.15),"Late-cycle warning",IF(AND(J81&gt;0,M81&gt;0),"Earnings-led expansion",IF(AND(J81&gt;0,D81&lt;0),"Potential dislocation",IF(AND(J81&gt;0,M81&lt;0),"Price ahead / rerating","Neutral")))))</x:f>
        <x:v>Earnings-led expansion</x:v>
      </x:c>
      <x:c r="O81" s="40" t="n">
        <x:v>0.20027102689136633</x:v>
      </x:c>
      <x:c r="P81" s="40" t="n">
        <x:v>0.9411764705882353</x:v>
      </x:c>
      <x:c r="Q81" s="40" t="n">
        <x:v>0.793798926412023</x:v>
      </x:c>
      <x:c r="R81" s="40" t="n">
        <x:v>0.5023226548299996</x:v>
      </x:c>
      <x:c r="S81" s="40" t="n">
        <x:v>0.4976773451700004</x:v>
      </x:c>
      <x:c r="T81" s="40" t="n">
        <x:v>0.8511923189280747</x:v>
      </x:c>
      <x:c r="U81" s="40" t="n">
        <x:v>1</x:v>
      </x:c>
      <x:c r="V81" s="40" t="n">
        <x:v>0.7976354291285032</x:v>
      </x:c>
      <x:c r="W81" s="64" t="str">
        <x:v>Stage 7 – Earnings Acceleration</x:v>
      </x:c>
      <x:c r="X81" s="64" t="str">
        <x:v>Rev3M +61.2%; Accel3M +20.0ppt; Stock3M +21.1%; EV/EBITDA 3.9x (50th pct); PeakRatio36M 100%; Multiple3M -26.3%; Earnings-Price Gap +40.1%; CycleHeat 80%. EBITDA revision strength is in a high historical percentile and revision momentum is still accelerating.</x:v>
      </x:c>
    </x:row>
    <x:row r="82">
      <x:c r="A82" s="32" t="n">
        <x:v>45473</x:v>
      </x:c>
      <x:c r="B82" s="33" t="n">
        <x:v>2.0915</x:v>
      </x:c>
      <x:c r="C82" s="40" t="n">
        <x:f>IFERROR((1+B82)/(1+B81)-1,"")</x:f>
        <x:v>0.24999999999999978</x:v>
      </x:c>
      <x:c r="D82" s="40" t="n">
        <x:f>IFERROR((1+B82)/(1+B79)-1,"")</x:f>
        <x:v>0.29232505643340856</x:v>
      </x:c>
      <x:c r="E82" s="40" t="n">
        <x:f>IFERROR((1+B82)/(1+B76)-1,"")</x:f>
        <x:v>0.67135211115316</x:v>
      </x:c>
      <x:c r="F82" s="36" t="n">
        <x:v>4.314889573619473</x:v>
      </x:c>
      <x:c r="G82" s="40" t="n">
        <x:f>IFERROR(F82/F79-1,"")</x:f>
        <x:v>-0.18147950651529476</x:v>
      </x:c>
      <x:c r="H82" s="38" t="n">
        <x:v>40582.84293299752</x:v>
      </x:c>
      <x:c r="I82" s="40" t="n">
        <x:f>IFERROR(H82/H81-1,"")</x:f>
        <x:v>-0.01317749511994315</x:v>
      </x:c>
      <x:c r="J82" s="40" t="n">
        <x:f>IFERROR(H82/H79-1,"")</x:f>
        <x:v>0.5086538282543973</x:v>
      </x:c>
      <x:c r="K82" s="40" t="n">
        <x:f>IFERROR(H82/H76-1,"")</x:f>
        <x:v>1.1584171298202097</x:v>
      </x:c>
      <x:c r="L82" s="40" t="n">
        <x:f>IFERROR(J82-J81,"")</x:f>
        <x:v>-0.10345506278749439</x:v>
      </x:c>
      <x:c r="M82" s="40" t="n">
        <x:f>IFERROR(J82-D82,"")</x:f>
        <x:v>0.21632877182098875</x:v>
      </x:c>
      <x:c r="N82" s="42" t="str">
        <x:f>IF(J82&lt;0,IF(D82&lt;0,"Down-cycle","Price up / earnings down"),IF(AND(J82&gt;0,L82&lt;0,M82&lt;-0.15),"Late-cycle warning",IF(AND(J82&gt;0,M82&gt;0),"Earnings-led expansion",IF(AND(J82&gt;0,D82&lt;0),"Potential dislocation",IF(AND(J82&gt;0,M82&lt;0),"Price ahead / rerating","Neutral")))))</x:f>
        <x:v>Earnings-led expansion</x:v>
      </x:c>
      <x:c r="O82" s="40" t="n">
        <x:v>0.0779630432665468</x:v>
      </x:c>
      <x:c r="P82" s="40" t="n">
        <x:v>0.9204709419548746</x:v>
      </x:c>
      <x:c r="Q82" s="40" t="n">
        <x:v>0.6598086452066249</x:v>
      </x:c>
      <x:c r="R82" s="40" t="n">
        <x:v>0.6090994585550631</x:v>
      </x:c>
      <x:c r="S82" s="40" t="n">
        <x:v>0.3909005414449369</x:v>
      </x:c>
      <x:c r="T82" s="40" t="n">
        <x:v>0.9231683929489216</x:v>
      </x:c>
      <x:c r="U82" s="40" t="n">
        <x:v>0.9868225048800568</x:v>
      </x:c>
      <x:c r="V82" s="40" t="n">
        <x:v>0.7499307778646339</x:v>
      </x:c>
      <x:c r="W82" s="64" t="str">
        <x:v>Stage 7 – Earnings Acceleration</x:v>
      </x:c>
      <x:c r="X82" s="64" t="str">
        <x:v>Rev3M +50.9%; Accel3M +7.8ppt; Stock3M +29.2%; EV/EBITDA 4.3x (61th pct); PeakRatio36M 99%; Multiple3M -18.1%; Earnings-Price Gap +21.6%; CycleHeat 75%. EBITDA revision strength is in a high historical percentile and revision momentum is still accelerating.</x:v>
      </x:c>
    </x:row>
    <x:row r="83">
      <x:c r="A83" s="32" t="n">
        <x:v>45504</x:v>
      </x:c>
      <x:c r="B83" s="33" t="n">
        <x:v>1.5438</x:v>
      </x:c>
      <x:c r="C83" s="40" t="n">
        <x:f>IFERROR((1+B83)/(1+B82)-1,"")</x:f>
        <x:v>-0.17716318939026354</x:v>
      </x:c>
      <x:c r="D83" s="40" t="n">
        <x:f>IFERROR((1+B83)/(1+B80)-1,"")</x:f>
        <x:v>0.11712265600983707</x:v>
      </x:c>
      <x:c r="E83" s="40" t="n">
        <x:f>IFERROR((1+B83)/(1+B77)-1,"")</x:f>
        <x:v>0.44468423443889127</x:v>
      </x:c>
      <x:c r="F83" s="36" t="n">
        <x:v>3.0153544316709855</x:v>
      </x:c>
      <x:c r="G83" s="40" t="n">
        <x:f>IFERROR(F83/F80-1,"")</x:f>
        <x:v>-0.25162076663938404</x:v>
      </x:c>
      <x:c r="H83" s="38" t="n">
        <x:v>49517.28098546993</x:v>
      </x:c>
      <x:c r="I83" s="40" t="n">
        <x:f>IFERROR(H83/H82-1,"")</x:f>
        <x:v>0.22015308457377447</x:v>
      </x:c>
      <x:c r="J83" s="40" t="n">
        <x:f>IFERROR(H83/H80-1,"")</x:f>
        <x:v>0.4887735497948966</x:v>
      </x:c>
      <x:c r="K83" s="40" t="n">
        <x:f>IFERROR(H83/H77-1,"")</x:f>
        <x:v>0.9410992444183794</x:v>
      </x:c>
      <x:c r="L83" s="40" t="n">
        <x:f>IFERROR(J83-J82,"")</x:f>
        <x:v>-0.01988027845950069</x:v>
      </x:c>
      <x:c r="M83" s="40" t="n">
        <x:f>IFERROR(J83-D83,"")</x:f>
        <x:v>0.37165089378505956</x:v>
      </x:c>
      <x:c r="N83" s="42" t="str">
        <x:f>IF(J83&lt;0,IF(D83&lt;0,"Down-cycle","Price up / earnings down"),IF(AND(J83&gt;0,L83&lt;0,M83&lt;-0.15),"Late-cycle warning",IF(AND(J83&gt;0,M83&gt;0),"Earnings-led expansion",IF(AND(J83&gt;0,D83&lt;0),"Potential dislocation",IF(AND(J83&gt;0,M83&lt;0),"Price ahead / rerating","Neutral")))))</x:f>
        <x:v>Earnings-led expansion</x:v>
      </x:c>
      <x:c r="O83" s="40" t="n">
        <x:v>0.1849491738944795</x:v>
      </x:c>
      <x:c r="P83" s="40" t="n">
        <x:v>0.9175302829560223</x:v>
      </x:c>
      <x:c r="Q83" s="40" t="n">
        <x:v>0.7861174568858693</x:v>
      </x:c>
      <x:c r="R83" s="40" t="n">
        <x:v>0.2886581729319593</x:v>
      </x:c>
      <x:c r="S83" s="40" t="n">
        <x:v>0.7113418270680407</x:v>
      </x:c>
      <x:c r="T83" s="40" t="n">
        <x:v>0.7197937313289013</x:v>
      </x:c>
      <x:c r="U83" s="40" t="n">
        <x:v>1</x:v>
      </x:c>
      <x:c r="V83" s="40" t="n">
        <x:v>0.8038920749354637</x:v>
      </x:c>
      <x:c r="W83" s="64" t="str">
        <x:v>Stage 8 – High-Cycle Expansion</x:v>
      </x:c>
      <x:c r="X83" s="64" t="str">
        <x:v>Rev3M +48.9%; Accel3M +18.5ppt; Stock3M +11.7%; EV/EBITDA 3.0x (29th pct); PeakRatio36M 100%; Multiple3M -25.2%; Earnings-Price Gap +37.2%; CycleHeat 80%. Forward EBITDA is near a 36M high, revisions remain positive, and EV/EBITDA is at a low historical percentile—classic high-profit-cycle conditions.</x:v>
      </x:c>
    </x:row>
    <x:row r="84">
      <x:c r="A84" s="32" t="n">
        <x:v>45535</x:v>
      </x:c>
      <x:c r="B84" s="33" t="n">
        <x:v>1.2706</x:v>
      </x:c>
      <x:c r="C84" s="40" t="n">
        <x:f>IFERROR((1+B84)/(1+B83)-1,"")</x:f>
        <x:v>-0.10739838037581573</x:v>
      </x:c>
      <x:c r="D84" s="40" t="n">
        <x:f>IFERROR((1+B84)/(1+B81)-1,"")</x:f>
        <x:v>-0.08191816270418906</x:v>
      </x:c>
      <x:c r="E84" s="40" t="n">
        <x:f>IFERROR((1+B84)/(1+B78)-1,"")</x:f>
        <x:v>0.11205798804975986</x:v>
      </x:c>
      <x:c r="F84" s="36" t="n">
        <x:v>2.8305707671156464</x:v>
      </x:c>
      <x:c r="G84" s="40" t="n">
        <x:f>IFERROR(F84/F81-1,"")</x:f>
        <x:v>-0.2710827155651512</x:v>
      </x:c>
      <x:c r="H84" s="38" t="n">
        <x:v>49517.28098546993</x:v>
      </x:c>
      <x:c r="I84" s="40" t="n">
        <x:f>IFERROR(H84/H83-1,"")</x:f>
        <x:v>0</x:v>
      </x:c>
      <x:c r="J84" s="40" t="n">
        <x:f>IFERROR(H84/H81-1,"")</x:f>
        <x:v>0.20407452325622</x:v>
      </x:c>
      <x:c r="K84" s="40" t="n">
        <x:f>IFERROR(H84/H78-1,"")</x:f>
        <x:v>0.9410992444183794</x:v>
      </x:c>
      <x:c r="L84" s="40" t="n">
        <x:f>IFERROR(J84-J83,"")</x:f>
        <x:v>-0.2846990265386766</x:v>
      </x:c>
      <x:c r="M84" s="40" t="n">
        <x:f>IFERROR(J84-D84,"")</x:f>
        <x:v>0.28599268596040905</x:v>
      </x:c>
      <x:c r="N84" s="42" t="str">
        <x:f>IF(J84&lt;0,IF(D84&lt;0,"Down-cycle","Price up / earnings down"),IF(AND(J84&gt;0,L84&lt;0,M84&lt;-0.15),"Late-cycle warning",IF(AND(J84&gt;0,M84&gt;0),"Earnings-led expansion",IF(AND(J84&gt;0,D84&lt;0),"Potential dislocation",IF(AND(J84&gt;0,M84&lt;0),"Price ahead / rerating","Neutral")))))</x:f>
        <x:v>Earnings-led expansion</x:v>
      </x:c>
      <x:c r="O84" s="40" t="n">
        <x:v>-0.4080343677856717</x:v>
      </x:c>
      <x:c r="P84" s="40" t="n">
        <x:v>0.7426470588235294</x:v>
      </x:c>
      <x:c r="Q84" s="40" t="n">
        <x:v>0.03637482223402702</x:v>
      </x:c>
      <x:c r="R84" s="40" t="n">
        <x:v>0.25207904119047003</x:v>
      </x:c>
      <x:c r="S84" s="40" t="n">
        <x:v>0.7479209588095299</x:v>
      </x:c>
      <x:c r="T84" s="40" t="n">
        <x:v>0.30044878838431055</x:v>
      </x:c>
      <x:c r="U84" s="40" t="n">
        <x:v>1</x:v>
      </x:c>
      <x:c r="V84" s="40" t="n">
        <x:v>0.47869412558551017</x:v>
      </x:c>
      <x:c r="W84" s="64" t="str">
        <x:v>Stage 10 – Price-Led Roll-over</x:v>
      </x:c>
      <x:c r="X84" s="64" t="str">
        <x:v>Rev3M +20.4%; Accel3M -40.8ppt; Stock3M -8.2%; EV/EBITDA 2.8x (25th pct); PeakRatio36M 100%; Multiple3M -27.1%; Earnings-Price Gap +28.6%; CycleHeat 48%. The stock has turned negative before forward EBITDA revisions have turned negative; price may be leading a future earnings slowdown.</x:v>
      </x:c>
    </x:row>
    <x:row r="85">
      <x:c r="A85" s="32" t="n">
        <x:v>45565</x:v>
      </x:c>
      <x:c r="B85" s="33" t="n">
        <x:v>1.2824</x:v>
      </x:c>
      <x:c r="C85" s="40" t="n">
        <x:f>IFERROR((1+B85)/(1+B84)-1,"")</x:f>
        <x:v>0.005196864264952028</x:v>
      </x:c>
      <x:c r="D85" s="40" t="n">
        <x:f>IFERROR((1+B85)/(1+B82)-1,"")</x:f>
        <x:v>-0.2617176128093158</x:v>
      </x:c>
      <x:c r="E85" s="40" t="n">
        <x:f>IFERROR((1+B85)/(1+B79)-1,"")</x:f>
        <x:v>-0.04589917231000751</x:v>
      </x:c>
      <x:c r="F85" s="36" t="n">
        <x:v>3.031287044041388</x:v>
      </x:c>
      <x:c r="G85" s="40" t="n">
        <x:f>IFERROR(F85/F82-1,"")</x:f>
        <x:v>-0.29748212733549895</x:v>
      </x:c>
      <x:c r="H85" s="38" t="n">
        <x:v>45728.93220710702</x:v>
      </x:c>
      <x:c r="I85" s="40" t="n">
        <x:f>IFERROR(H85/H84-1,"")</x:f>
        <x:v>-0.07650558962384346</x:v>
      </x:c>
      <x:c r="J85" s="40" t="n">
        <x:f>IFERROR(H85/H82-1,"")</x:f>
        <x:v>0.1268045534071065</x:v>
      </x:c>
      <x:c r="K85" s="40" t="n">
        <x:f>IFERROR(H85/H79-1,"")</x:f>
        <x:v>0.6999580031921178</x:v>
      </x:c>
      <x:c r="L85" s="40" t="n">
        <x:f>IFERROR(J85-J84,"")</x:f>
        <x:v>-0.0772699698491135</x:v>
      </x:c>
      <x:c r="M85" s="40" t="n">
        <x:f>IFERROR(J85-D85,"")</x:f>
        <x:v>0.3885221662164223</x:v>
      </x:c>
      <x:c r="N85" s="42" t="str">
        <x:f>IF(J85&lt;0,IF(D85&lt;0,"Down-cycle","Price up / earnings down"),IF(AND(J85&gt;0,L85&lt;0,M85&lt;-0.15),"Late-cycle warning",IF(AND(J85&gt;0,M85&gt;0),"Earnings-led expansion",IF(AND(J85&gt;0,D85&lt;0),"Potential dislocation",IF(AND(J85&gt;0,M85&lt;0),"Price ahead / rerating","Neutral")))))</x:f>
        <x:v>Earnings-led expansion</x:v>
      </x:c>
      <x:c r="O85" s="40" t="n">
        <x:v>-0.3818492748472908</x:v>
      </x:c>
      <x:c r="P85" s="40" t="n">
        <x:v>0.6359565853569435</x:v>
      </x:c>
      <x:c r="Q85" s="40" t="n">
        <x:v>0.039067902922041486</x:v>
      </x:c>
      <x:c r="R85" s="40" t="n">
        <x:v>0.2904232527609888</x:v>
      </x:c>
      <x:c r="S85" s="40" t="n">
        <x:v>0.7095767472390112</x:v>
      </x:c>
      <x:c r="T85" s="40" t="n">
        <x:v>0</x:v>
      </x:c>
      <x:c r="U85" s="40" t="n">
        <x:v>0.9234944103761565</x:v>
      </x:c>
      <x:c r="V85" s="40" t="n">
        <x:v>0.37426713005324286</x:v>
      </x:c>
      <x:c r="W85" s="64" t="str">
        <x:v>Stage 10 – Price-Led Roll-over</x:v>
      </x:c>
      <x:c r="X85" s="64" t="str">
        <x:v>Rev3M +12.7%; Accel3M -38.2ppt; Stock3M -26.2%; EV/EBITDA 3.0x (29th pct); PeakRatio36M 92%; Multiple3M -29.7%; Earnings-Price Gap +38.9%; CycleHeat 37%. The stock has turned negative before forward EBITDA revisions have turned negative; price may be leading a future earnings slowdown.</x:v>
      </x:c>
    </x:row>
    <x:row r="86">
      <x:c r="A86" s="32" t="n">
        <x:v>45596</x:v>
      </x:c>
      <x:c r="B86" s="33" t="n">
        <x:v>1.4353</x:v>
      </x:c>
      <x:c r="C86" s="40" t="n">
        <x:f>IFERROR((1+B86)/(1+B85)-1,"")</x:f>
        <x:v>0.06699088678583931</x:v>
      </x:c>
      <x:c r="D86" s="40" t="n">
        <x:f>IFERROR((1+B86)/(1+B83)-1,"")</x:f>
        <x:v>-0.042652724270776154</x:v>
      </x:c>
      <x:c r="E86" s="40" t="n">
        <x:f>IFERROR((1+B86)/(1+B80)-1,"")</x:f>
        <x:v>0.06947433138641257</x:v>
      </x:c>
      <x:c r="F86" s="36" t="n">
        <x:v>2.8908715864654893</x:v>
      </x:c>
      <x:c r="G86" s="40" t="n">
        <x:f>IFERROR(F86/F83-1,"")</x:f>
        <x:v>-0.04128298945491227</x:v>
      </x:c>
      <x:c r="H86" s="38" t="n">
        <x:v>49517.28098546993</x:v>
      </x:c>
      <x:c r="I86" s="40" t="n">
        <x:f>IFERROR(H86/H85-1,"")</x:f>
        <x:v>0.082843587101606</x:v>
      </x:c>
      <x:c r="J86" s="40" t="n">
        <x:f>IFERROR(H86/H83-1,"")</x:f>
        <x:v>0</x:v>
      </x:c>
      <x:c r="K86" s="40" t="n">
        <x:f>IFERROR(H86/H80-1,"")</x:f>
        <x:v>0.4887735497948966</x:v>
      </x:c>
      <x:c r="L86" s="40" t="n">
        <x:f>IFERROR(J86-J85,"")</x:f>
        <x:v>-0.1268045534071065</x:v>
      </x:c>
      <x:c r="M86" s="40" t="n">
        <x:f>IFERROR(J86-D86,"")</x:f>
        <x:v>0.042652724270776154</x:v>
      </x:c>
      <x:c r="N86" s="42" t="str">
        <x:f>IF(J86&lt;0,IF(D86&lt;0,"Down-cycle","Price up / earnings down"),IF(AND(J86&gt;0,L86&lt;0,M86&lt;-0.15),"Late-cycle warning",IF(AND(J86&gt;0,M86&gt;0),"Earnings-led expansion",IF(AND(J86&gt;0,D86&lt;0),"Potential dislocation",IF(AND(J86&gt;0,M86&lt;0),"Price ahead / rerating","Neutral")))))</x:f>
        <x:v>Neutral</x:v>
      </x:c>
      <x:c r="O86" s="40" t="n">
        <x:v>-0.4887735497948966</x:v>
      </x:c>
      <x:c r="P86" s="40" t="n">
        <x:v>0.4411764705882353</x:v>
      </x:c>
      <x:c r="Q86" s="40" t="n">
        <x:v>0.023549331973979036</x:v>
      </x:c>
      <x:c r="R86" s="40" t="n">
        <x:v>0.260507713304231</x:v>
      </x:c>
      <x:c r="S86" s="40" t="n">
        <x:v>0.7394922866957689</x:v>
      </x:c>
      <x:c r="T86" s="40" t="n">
        <x:v>0.3933868625496628</x:v>
      </x:c>
      <x:c r="U86" s="40" t="n">
        <x:v>1</x:v>
      </x:c>
      <x:c r="V86" s="40" t="n">
        <x:v>0.3868749275484634</x:v>
      </x:c>
      <x:c r="W86" s="64" t="str">
        <x:v>Stage 11 – Earnings Peak / Roll-over</x:v>
      </x:c>
      <x:c r="X86" s="64" t="str">
        <x:v>Rev3M +0.0%; Accel3M -48.9ppt; Stock3M -4.3%; EV/EBITDA 2.9x (26th pct); PeakRatio36M 100%; Multiple3M -4.1%; Earnings-Price Gap +4.3%; CycleHeat 39%. Forward EBITDA revisions have stalled/turned negative, acceleration is negative, stock performance is negative, and earnings are still near peak.</x:v>
      </x:c>
    </x:row>
    <x:row r="87">
      <x:c r="A87" s="32" t="n">
        <x:v>45626</x:v>
      </x:c>
      <x:c r="B87" s="33" t="n">
        <x:v>1.0902</x:v>
      </x:c>
      <x:c r="C87" s="40" t="n">
        <x:f>IFERROR((1+B87)/(1+B86)-1,"")</x:f>
        <x:v>-0.14170738718022402</x:v>
      </x:c>
      <x:c r="D87" s="40" t="n">
        <x:f>IFERROR((1+B87)/(1+B84)-1,"")</x:f>
        <x:v>-0.07945036554214735</x:v>
      </x:c>
      <x:c r="E87" s="40" t="n">
        <x:f>IFERROR((1+B87)/(1+B81)-1,"")</x:f>
        <x:v>-0.15486010027494745</x:v>
      </x:c>
      <x:c r="F87" s="36" t="n">
        <x:v>2.629252376579781</x:v>
      </x:c>
      <x:c r="G87" s="40" t="n">
        <x:f>IFERROR(F87/F84-1,"")</x:f>
        <x:v>-0.0711228960867879</x:v>
      </x:c>
      <x:c r="H87" s="38" t="n">
        <x:v>49517.28098546993</x:v>
      </x:c>
      <x:c r="I87" s="40" t="n">
        <x:f>IFERROR(H87/H86-1,"")</x:f>
        <x:v>0</x:v>
      </x:c>
      <x:c r="J87" s="40" t="n">
        <x:f>IFERROR(H87/H84-1,"")</x:f>
        <x:v>0</x:v>
      </x:c>
      <x:c r="K87" s="40" t="n">
        <x:f>IFERROR(H87/H81-1,"")</x:f>
        <x:v>0.20407452325622</x:v>
      </x:c>
      <x:c r="L87" s="40" t="n">
        <x:f>IFERROR(J87-J86,"")</x:f>
        <x:v>0</x:v>
      </x:c>
      <x:c r="M87" s="40" t="n">
        <x:f>IFERROR(J87-D87,"")</x:f>
        <x:v>0.07945036554214735</x:v>
      </x:c>
      <x:c r="N87" s="42" t="str">
        <x:f>IF(J87&lt;0,IF(D87&lt;0,"Down-cycle","Price up / earnings down"),IF(AND(J87&gt;0,L87&lt;0,M87&lt;-0.15),"Late-cycle warning",IF(AND(J87&gt;0,M87&gt;0),"Earnings-led expansion",IF(AND(J87&gt;0,D87&lt;0),"Potential dislocation",IF(AND(J87&gt;0,M87&lt;0),"Price ahead / rerating","Neutral")))))</x:f>
        <x:v>Neutral</x:v>
      </x:c>
      <x:c r="O87" s="40" t="n">
        <x:v>-0.20407452325622</x:v>
      </x:c>
      <x:c r="P87" s="40" t="n">
        <x:v>0.4411764705882353</x:v>
      </x:c>
      <x:c r="Q87" s="40" t="n">
        <x:v>0.15109365648285353</x:v>
      </x:c>
      <x:c r="R87" s="40" t="n">
        <x:v>0.22932338119215712</x:v>
      </x:c>
      <x:c r="S87" s="40" t="n">
        <x:v>0.7706766188078429</x:v>
      </x:c>
      <x:c r="T87" s="40" t="n">
        <x:v>0.30660684007002653</x:v>
      </x:c>
      <x:c r="U87" s="40" t="n">
        <x:v>1</x:v>
      </x:c>
      <x:c r="V87" s="40" t="n">
        <x:v>0.4076418706021696</x:v>
      </x:c>
      <x:c r="W87" s="64" t="str">
        <x:v>Stage 11 – Earnings Peak / Roll-over</x:v>
      </x:c>
      <x:c r="X87" s="64" t="str">
        <x:v>Rev3M +0.0%; Accel3M -20.4ppt; Stock3M -7.9%; EV/EBITDA 2.6x (23th pct); PeakRatio36M 100%; Multiple3M -7.1%; Earnings-Price Gap +7.9%; CycleHeat 41%. Forward EBITDA revisions have stalled/turned negative, acceleration is negative, stock performance is negative, and earnings are still near peak.</x:v>
      </x:c>
    </x:row>
    <x:row r="88">
      <x:c r="A88" s="32" t="n">
        <x:v>45657</x:v>
      </x:c>
      <x:c r="B88" s="33" t="n">
        <x:v>1.2732</x:v>
      </x:c>
      <x:c r="C88" s="40" t="n">
        <x:f>IFERROR((1+B88)/(1+B87)-1,"")</x:f>
        <x:v>0.08755143048512104</x:v>
      </x:c>
      <x:c r="D88" s="40" t="n">
        <x:f>IFERROR((1+B88)/(1+B85)-1,"")</x:f>
        <x:v>-0.004030844724850935</x:v>
      </x:c>
      <x:c r="E88" s="40" t="n">
        <x:f>IFERROR((1+B88)/(1+B82)-1,"")</x:f>
        <x:v>-0.26469351447517386</x:v>
      </x:c>
      <x:c r="F88" s="36" t="n">
        <x:v>2.9369387417022224</x:v>
      </x:c>
      <x:c r="G88" s="40" t="n">
        <x:f>IFERROR(F88/F85-1,"")</x:f>
        <x:v>-0.031124832775116573</x:v>
      </x:c>
      <x:c r="H88" s="38" t="n">
        <x:v>48220.85202486567</x:v>
      </x:c>
      <x:c r="I88" s="40" t="n">
        <x:f>IFERROR(H88/H87-1,"")</x:f>
        <x:v>-0.02618134386225035</x:v>
      </x:c>
      <x:c r="J88" s="40" t="n">
        <x:f>IFERROR(H88/H85-1,"")</x:f>
        <x:v>0.054493286798666274</x:v>
      </x:c>
      <x:c r="K88" s="40" t="n">
        <x:f>IFERROR(H88/H82-1,"")</x:f>
        <x:v>0.1882078371019631</x:v>
      </x:c>
      <x:c r="L88" s="40" t="n">
        <x:f>IFERROR(J88-J87,"")</x:f>
        <x:v>0.054493286798666274</x:v>
      </x:c>
      <x:c r="M88" s="40" t="n">
        <x:f>IFERROR(J88-D88,"")</x:f>
        <x:v>0.05852413152351721</x:v>
      </x:c>
      <x:c r="N88" s="42" t="str">
        <x:f>IF(J88&lt;0,IF(D88&lt;0,"Down-cycle","Price up / earnings down"),IF(AND(J88&gt;0,L88&lt;0,M88&lt;-0.15),"Late-cycle warning",IF(AND(J88&gt;0,M88&gt;0),"Earnings-led expansion",IF(AND(J88&gt;0,D88&lt;0),"Potential dislocation",IF(AND(J88&gt;0,M88&lt;0),"Price ahead / rerating","Neutral")))))</x:f>
        <x:v>Earnings-led expansion</x:v>
      </x:c>
      <x:c r="O88" s="40" t="n">
        <x:v>-0.07231126660844023</x:v>
      </x:c>
      <x:c r="P88" s="40" t="n">
        <x:v>0.4852941176470588</x:v>
      </x:c>
      <x:c r="Q88" s="40" t="n">
        <x:v>0.43816358602484784</x:v>
      </x:c>
      <x:c r="R88" s="40" t="n">
        <x:v>0.2676056338028169</x:v>
      </x:c>
      <x:c r="S88" s="40" t="n">
        <x:v>0.7323943661971831</x:v>
      </x:c>
      <x:c r="T88" s="40" t="n">
        <x:v>0.4711007215389375</x:v>
      </x:c>
      <x:c r="U88" s="40" t="n">
        <x:v>0.9738186561377496</x:v>
      </x:c>
      <x:c r="V88" s="40" t="n">
        <x:v>0.5200928552299067</x:v>
      </x:c>
      <x:c r="W88" s="64" t="str">
        <x:v>Stage 10 – Price-Led Roll-over</x:v>
      </x:c>
      <x:c r="X88" s="64" t="str">
        <x:v>Rev3M +5.4%; Accel3M -7.2ppt; Stock3M -0.4%; EV/EBITDA 2.9x (27th pct); PeakRatio36M 97%; Multiple3M -3.1%; Earnings-Price Gap +5.9%; CycleHeat 52%. The stock has turned negative before forward EBITDA revisions have turned negative; price may be leading a future earnings slowdown.</x:v>
      </x:c>
    </x:row>
    <x:row r="89">
      <x:c r="A89" s="32" t="n">
        <x:v>45688</x:v>
      </x:c>
      <x:c r="B89" s="33" t="n">
        <x:v>1.6039</x:v>
      </x:c>
      <x:c r="C89" s="40" t="n">
        <x:f>IFERROR((1+B89)/(1+B88)-1,"")</x:f>
        <x:v>0.145477740629949</x:v>
      </x:c>
      <x:c r="D89" s="40" t="n">
        <x:f>IFERROR((1+B89)/(1+B86)-1,"")</x:f>
        <x:v>0.06923171683160212</x:v>
      </x:c>
      <x:c r="E89" s="40" t="n">
        <x:f>IFERROR((1+B89)/(1+B83)-1,"")</x:f>
        <x:v>0.0236260712320151</x:v>
      </x:c>
      <x:c r="F89" s="36" t="n">
        <x:v>3.1122218152290597</x:v>
      </x:c>
      <x:c r="G89" s="40" t="n">
        <x:f>IFERROR(F89/F86-1,"")</x:f>
        <x:v>0.07656868253847393</x:v>
      </x:c>
      <x:c r="H89" s="38" t="n">
        <x:v>48220.85202486567</x:v>
      </x:c>
      <x:c r="I89" s="40" t="n">
        <x:f>IFERROR(H89/H88-1,"")</x:f>
        <x:v>0</x:v>
      </x:c>
      <x:c r="J89" s="40" t="n">
        <x:f>IFERROR(H89/H86-1,"")</x:f>
        <x:v>-0.02618134386225035</x:v>
      </x:c>
      <x:c r="K89" s="40" t="n">
        <x:f>IFERROR(H89/H83-1,"")</x:f>
        <x:v>-0.02618134386225035</x:v>
      </x:c>
      <x:c r="L89" s="40" t="n">
        <x:f>IFERROR(J89-J88,"")</x:f>
        <x:v>-0.08067463066091662</x:v>
      </x:c>
      <x:c r="M89" s="40" t="n">
        <x:f>IFERROR(J89-D89,"")</x:f>
        <x:v>-0.09541306069385247</x:v>
      </x:c>
      <x:c r="N89" s="42" t="str">
        <x:f>IF(J89&lt;0,IF(D89&lt;0,"Down-cycle","Price up / earnings down"),IF(AND(J89&gt;0,L89&lt;0,M89&lt;-0.15),"Late-cycle warning",IF(AND(J89&gt;0,M89&gt;0),"Earnings-led expansion",IF(AND(J89&gt;0,D89&lt;0),"Potential dislocation",IF(AND(J89&gt;0,M89&lt;0),"Price ahead / rerating","Neutral")))))</x:f>
        <x:v>Price up / earnings down</x:v>
      </x:c>
      <x:c r="O89" s="40" t="n">
        <x:v>-0.02618134386225035</x:v>
      </x:c>
      <x:c r="P89" s="40" t="n">
        <x:v>0.40441176470588236</x:v>
      </x:c>
      <x:c r="Q89" s="40" t="n">
        <x:v>0.5410690249496715</x:v>
      </x:c>
      <x:c r="R89" s="40" t="n">
        <x:v>0.30985915492957744</x:v>
      </x:c>
      <x:c r="S89" s="40" t="n">
        <x:v>0.6901408450704225</x:v>
      </x:c>
      <x:c r="T89" s="40" t="n">
        <x:v>0.6199706459436226</x:v>
      </x:c>
      <x:c r="U89" s="40" t="n">
        <x:v>0.9738186561377496</x:v>
      </x:c>
      <x:c r="V89" s="40" t="n">
        <x:v>0.5388336720872857</x:v>
      </x:c>
      <x:c r="W89" s="64" t="str">
        <x:v>Stage 13 – Mixed / Transition</x:v>
      </x:c>
      <x:c r="X89" s="64" t="str">
        <x:v>Rev3M -2.6%; Accel3M -2.6ppt; Stock3M +6.9%; EV/EBITDA 3.1x (31th pct); PeakRatio36M 97%; Multiple3M +7.7%; Earnings-Price Gap -9.5%; CycleHeat 54%. Signals do not fit one dominant state; treat as a transition and require confirmation from the next 1–3 monthly observations.</x:v>
      </x:c>
    </x:row>
    <x:row r="90">
      <x:c r="A90" s="32" t="n">
        <x:v>45716</x:v>
      </x:c>
      <x:c r="B90" s="33" t="n">
        <x:v>1.4863</x:v>
      </x:c>
      <x:c r="C90" s="40" t="n">
        <x:f>IFERROR((1+B90)/(1+B89)-1,"")</x:f>
        <x:v>-0.04516302469372879</x:v>
      </x:c>
      <x:c r="D90" s="40" t="n">
        <x:f>IFERROR((1+B90)/(1+B87)-1,"")</x:f>
        <x:v>0.1895033968041333</x:v>
      </x:c>
      <x:c r="E90" s="40" t="n">
        <x:f>IFERROR((1+B90)/(1+B84)-1,"")</x:f>
        <x:v>0.09499691711441915</x:v>
      </x:c>
      <x:c r="F90" s="36" t="n">
        <x:v>3.0153544316709855</x:v>
      </x:c>
      <x:c r="G90" s="40" t="n">
        <x:f>IFERROR(F90/F87-1,"")</x:f>
        <x:v>0.14684860933489352</x:v>
      </x:c>
      <x:c r="H90" s="38" t="n">
        <x:v>48220.85202486567</x:v>
      </x:c>
      <x:c r="I90" s="40" t="n">
        <x:f>IFERROR(H90/H89-1,"")</x:f>
        <x:v>0</x:v>
      </x:c>
      <x:c r="J90" s="40" t="n">
        <x:f>IFERROR(H90/H87-1,"")</x:f>
        <x:v>-0.02618134386225035</x:v>
      </x:c>
      <x:c r="K90" s="40" t="n">
        <x:f>IFERROR(H90/H84-1,"")</x:f>
        <x:v>-0.02618134386225035</x:v>
      </x:c>
      <x:c r="L90" s="40" t="n">
        <x:f>IFERROR(J90-J89,"")</x:f>
        <x:v>0</x:v>
      </x:c>
      <x:c r="M90" s="40" t="n">
        <x:f>IFERROR(J90-D90,"")</x:f>
        <x:v>-0.21568474066638366</x:v>
      </x:c>
      <x:c r="N90" s="42" t="str">
        <x:f>IF(J90&lt;0,IF(D90&lt;0,"Down-cycle","Price up / earnings down"),IF(AND(J90&gt;0,L90&lt;0,M90&lt;-0.15),"Late-cycle warning",IF(AND(J90&gt;0,M90&gt;0),"Earnings-led expansion",IF(AND(J90&gt;0,D90&lt;0),"Potential dislocation",IF(AND(J90&gt;0,M90&lt;0),"Price ahead / rerating","Neutral")))))</x:f>
        <x:v>Price up / earnings down</x:v>
      </x:c>
      <x:c r="O90" s="40" t="n">
        <x:v>-0.02618134386225035</x:v>
      </x:c>
      <x:c r="P90" s="40" t="n">
        <x:v>0.40441176470588236</x:v>
      </x:c>
      <x:c r="Q90" s="40" t="n">
        <x:v>0.5410690249496715</x:v>
      </x:c>
      <x:c r="R90" s="40" t="n">
        <x:v>0.2886581729319593</x:v>
      </x:c>
      <x:c r="S90" s="40" t="n">
        <x:v>0.7113418270680407</x:v>
      </x:c>
      <x:c r="T90" s="40" t="n">
        <x:v>0.8403176327247355</x:v>
      </x:c>
      <x:c r="U90" s="40" t="n">
        <x:v>0.9738186561377496</x:v>
      </x:c>
      <x:c r="V90" s="40" t="n">
        <x:v>0.587143265843032</x:v>
      </x:c>
      <x:c r="W90" s="64" t="str">
        <x:v>Stage 13 – Mixed / Transition</x:v>
      </x:c>
      <x:c r="X90" s="64" t="str">
        <x:v>Rev3M -2.6%; Accel3M -2.6ppt; Stock3M +19.0%; EV/EBITDA 3.0x (29th pct); PeakRatio36M 97%; Multiple3M +14.7%; Earnings-Price Gap -21.6%; CycleHeat 59%. Signals do not fit one dominant state; treat as a transition and require confirmation from the next 1–3 monthly observations.</x:v>
      </x:c>
    </x:row>
    <x:row r="91">
      <x:c r="A91" s="32" t="n">
        <x:v>45747</x:v>
      </x:c>
      <x:c r="B91" s="33" t="n">
        <x:v>1.4928</x:v>
      </x:c>
      <x:c r="C91" s="40" t="n">
        <x:f>IFERROR((1+B91)/(1+B90)-1,"")</x:f>
        <x:v>0.002614326509270848</x:v>
      </x:c>
      <x:c r="D91" s="40" t="n">
        <x:f>IFERROR((1+B91)/(1+B88)-1,"")</x:f>
        <x:v>0.0966039063874713</x:v>
      </x:c>
      <x:c r="E91" s="40" t="n">
        <x:f>IFERROR((1+B91)/(1+B85)-1,"")</x:f>
        <x:v>0.09218366631615837</x:v>
      </x:c>
      <x:c r="F91" s="36" t="n">
        <x:v>2.860562288106037</x:v>
      </x:c>
      <x:c r="G91" s="40" t="n">
        <x:f>IFERROR(F91/F88-1,"")</x:f>
        <x:v>-0.02600546361818845</x:v>
      </x:c>
      <x:c r="H91" s="38" t="n">
        <x:v>48220.85202486567</x:v>
      </x:c>
      <x:c r="I91" s="40" t="n">
        <x:f>IFERROR(H91/H90-1,"")</x:f>
        <x:v>0</x:v>
      </x:c>
      <x:c r="J91" s="40" t="n">
        <x:f>IFERROR(H91/H88-1,"")</x:f>
        <x:v>0</x:v>
      </x:c>
      <x:c r="K91" s="40" t="n">
        <x:f>IFERROR(H91/H85-1,"")</x:f>
        <x:v>0.054493286798666274</x:v>
      </x:c>
      <x:c r="L91" s="40" t="n">
        <x:f>IFERROR(J91-J90,"")</x:f>
        <x:v>0.02618134386225035</x:v>
      </x:c>
      <x:c r="M91" s="40" t="n">
        <x:f>IFERROR(J91-D91,"")</x:f>
        <x:v>-0.0966039063874713</x:v>
      </x:c>
      <x:c r="N91" s="42" t="str">
        <x:f>IF(J91&lt;0,IF(D91&lt;0,"Down-cycle","Price up / earnings down"),IF(AND(J91&gt;0,L91&lt;0,M91&lt;-0.15),"Late-cycle warning",IF(AND(J91&gt;0,M91&gt;0),"Earnings-led expansion",IF(AND(J91&gt;0,D91&lt;0),"Potential dislocation",IF(AND(J91&gt;0,M91&lt;0),"Price ahead / rerating","Neutral")))))</x:f>
        <x:v>Neutral</x:v>
      </x:c>
      <x:c r="O91" s="40" t="n">
        <x:v>-0.054493286798666274</x:v>
      </x:c>
      <x:c r="P91" s="40" t="n">
        <x:v>0.4411764705882353</x:v>
      </x:c>
      <x:c r="Q91" s="40" t="n">
        <x:v>0.46560296226320275</x:v>
      </x:c>
      <x:c r="R91" s="40" t="n">
        <x:v>0.2558377268677391</x:v>
      </x:c>
      <x:c r="S91" s="40" t="n">
        <x:v>0.7441622731322609</x:v>
      </x:c>
      <x:c r="T91" s="40" t="n">
        <x:v>0.7027819155117171</x:v>
      </x:c>
      <x:c r="U91" s="40" t="n">
        <x:v>0.9738186561377496</x:v>
      </x:c>
      <x:c r="V91" s="40" t="n">
        <x:v>0.5602013430004786</x:v>
      </x:c>
      <x:c r="W91" s="64" t="str">
        <x:v>Stage 13 – Mixed / Transition</x:v>
      </x:c>
      <x:c r="X91" s="64" t="str">
        <x:v>Rev3M +0.0%; Accel3M -5.4ppt; Stock3M +9.7%; EV/EBITDA 2.9x (26th pct); PeakRatio36M 97%; Multiple3M -2.6%; Earnings-Price Gap -9.7%; CycleHeat 56%. Signals do not fit one dominant state; treat as a transition and require confirmation from the next 1–3 monthly observations.</x:v>
      </x:c>
    </x:row>
    <x:row r="92">
      <x:c r="A92" s="32" t="n">
        <x:v>45777</x:v>
      </x:c>
      <x:c r="B92" s="33" t="n">
        <x:v>1.3203</x:v>
      </x:c>
      <x:c r="C92" s="40" t="n">
        <x:f>IFERROR((1+B92)/(1+B91)-1,"")</x:f>
        <x:v>-0.06919929396662383</x:v>
      </x:c>
      <x:c r="D92" s="40" t="n">
        <x:f>IFERROR((1+B92)/(1+B89)-1,"")</x:f>
        <x:v>-0.10891355274780146</x:v>
      </x:c>
      <x:c r="E92" s="40" t="n">
        <x:f>IFERROR((1+B92)/(1+B86)-1,"")</x:f>
        <x:v>-0.04722210815915895</x:v>
      </x:c>
      <x:c r="F92" s="36" t="n">
        <x:v>2.6016860207730548</x:v>
      </x:c>
      <x:c r="G92" s="40" t="n">
        <x:f>IFERROR(F92/F89-1,"")</x:f>
        <x:v>-0.16404222602572738</x:v>
      </x:c>
      <x:c r="H92" s="38" t="n">
        <x:v>52215.6403797013</x:v>
      </x:c>
      <x:c r="I92" s="40" t="n">
        <x:f>IFERROR(H92/H91-1,"")</x:f>
        <x:v>0.08284358710160622</x:v>
      </x:c>
      <x:c r="J92" s="40" t="n">
        <x:f>IFERROR(H92/H89-1,"")</x:f>
        <x:v>0.08284358710160622</x:v>
      </x:c>
      <x:c r="K92" s="40" t="n">
        <x:f>IFERROR(H92/H86-1,"")</x:f>
        <x:v>0.054493286798666496</x:v>
      </x:c>
      <x:c r="L92" s="40" t="n">
        <x:f>IFERROR(J92-J91,"")</x:f>
        <x:v>0.08284358710160622</x:v>
      </x:c>
      <x:c r="M92" s="40" t="n">
        <x:f>IFERROR(J92-D92,"")</x:f>
        <x:v>0.19175713984940768</x:v>
      </x:c>
      <x:c r="N92" s="42" t="str">
        <x:f>IF(J92&lt;0,IF(D92&lt;0,"Down-cycle","Price up / earnings down"),IF(AND(J92&gt;0,L92&lt;0,M92&lt;-0.15),"Late-cycle warning",IF(AND(J92&gt;0,M92&gt;0),"Earnings-led expansion",IF(AND(J92&gt;0,D92&lt;0),"Potential dislocation",IF(AND(J92&gt;0,M92&lt;0),"Price ahead / rerating","Neutral")))))</x:f>
        <x:v>Earnings-led expansion</x:v>
      </x:c>
      <x:c r="O92" s="40" t="n">
        <x:v>0.10902493096385657</x:v>
      </x:c>
      <x:c r="P92" s="40" t="n">
        <x:v>0.6029411764705882</x:v>
      </x:c>
      <x:c r="Q92" s="40" t="n">
        <x:v>0.7194309911818106</x:v>
      </x:c>
      <x:c r="R92" s="40" t="n">
        <x:v>0.22535211267605634</x:v>
      </x:c>
      <x:c r="S92" s="40" t="n">
        <x:v>0.7746478873239436</x:v>
      </x:c>
      <x:c r="T92" s="40" t="n">
        <x:v>0.1995892060257642</x:v>
      </x:c>
      <x:c r="U92" s="40" t="n">
        <x:v>1</x:v>
      </x:c>
      <x:c r="V92" s="40" t="n">
        <x:v>0.5857345782301001</x:v>
      </x:c>
      <x:c r="W92" s="64" t="str">
        <x:v>Stage 8 – High-Cycle Expansion</x:v>
      </x:c>
      <x:c r="X92" s="64" t="str">
        <x:v>Rev3M +8.3%; Accel3M +10.9ppt; Stock3M -10.9%; EV/EBITDA 2.6x (23th pct); PeakRatio36M 100%; Multiple3M -16.4%; Earnings-Price Gap +19.2%; CycleHeat 59%. Forward EBITDA is near a 36M high, revisions remain positive, and EV/EBITDA is at a low historical percentile—classic high-profit-cycle conditions.</x:v>
      </x:c>
    </x:row>
    <x:row r="93">
      <x:c r="A93" s="32" t="n">
        <x:v>45808</x:v>
      </x:c>
      <x:c r="B93" s="33" t="n">
        <x:v>1.6732</x:v>
      </x:c>
      <x:c r="C93" s="40" t="n">
        <x:f>IFERROR((1+B93)/(1+B92)-1,"")</x:f>
        <x:v>0.15209240184458905</x:v>
      </x:c>
      <x:c r="D93" s="40" t="n">
        <x:f>IFERROR((1+B93)/(1+B90)-1,"")</x:f>
        <x:v>0.07517194224349444</x:v>
      </x:c>
      <x:c r="E93" s="40" t="n">
        <x:f>IFERROR((1+B93)/(1+B87)-1,"")</x:f>
        <x:v>0.278920677447134</x:v>
      </x:c>
      <x:c r="F93" s="36" t="n">
        <x:v>3.458155036613678</x:v>
      </x:c>
      <x:c r="G93" s="40" t="n">
        <x:f>IFERROR(F93/F90-1,"")</x:f>
        <x:v>0.14684860933489352</x:v>
      </x:c>
      <x:c r="H93" s="38" t="n">
        <x:v>50848.56474393273</x:v>
      </x:c>
      <x:c r="I93" s="40" t="n">
        <x:f>IFERROR(H93/H92-1,"")</x:f>
        <x:v>-0.02618134386225046</x:v>
      </x:c>
      <x:c r="J93" s="40" t="n">
        <x:f>IFERROR(H93/H90-1,"")</x:f>
        <x:v>0.054493286798666496</x:v>
      </x:c>
      <x:c r="K93" s="40" t="n">
        <x:f>IFERROR(H93/H87-1,"")</x:f>
        <x:v>0.026885235456555856</x:v>
      </x:c>
      <x:c r="L93" s="40" t="n">
        <x:f>IFERROR(J93-J92,"")</x:f>
        <x:v>-0.028350300302939724</x:v>
      </x:c>
      <x:c r="M93" s="40" t="n">
        <x:f>IFERROR(J93-D93,"")</x:f>
        <x:v>-0.020678655444827942</x:v>
      </x:c>
      <x:c r="N93" s="42" t="str">
        <x:f>IF(J93&lt;0,IF(D93&lt;0,"Down-cycle","Price up / earnings down"),IF(AND(J93&gt;0,L93&lt;0,M93&lt;-0.15),"Late-cycle warning",IF(AND(J93&gt;0,M93&gt;0),"Earnings-led expansion",IF(AND(J93&gt;0,D93&lt;0),"Potential dislocation",IF(AND(J93&gt;0,M93&lt;0),"Price ahead / rerating","Neutral")))))</x:f>
        <x:v>Price ahead / rerating</x:v>
      </x:c>
      <x:c r="O93" s="40" t="n">
        <x:v>0.08067463066091685</x:v>
      </x:c>
      <x:c r="P93" s="40" t="n">
        <x:v>0.5220588235294118</x:v>
      </x:c>
      <x:c r="Q93" s="40" t="n">
        <x:v>0.6679643493294791</x:v>
      </x:c>
      <x:c r="R93" s="40" t="n">
        <x:v>0.3873239436619718</x:v>
      </x:c>
      <x:c r="S93" s="40" t="n">
        <x:v>0.6126760563380282</x:v>
      </x:c>
      <x:c r="T93" s="40" t="n">
        <x:v>0.652485687558231</x:v>
      </x:c>
      <x:c r="U93" s="40" t="n">
        <x:v>0.9738186561377495</x:v>
      </x:c>
      <x:c r="V93" s="40" t="n">
        <x:v>0.6027440243469158</x:v>
      </x:c>
      <x:c r="W93" s="64" t="str">
        <x:v>Stage 6 – Broad Recovery</x:v>
      </x:c>
      <x:c r="X93" s="64" t="str">
        <x:v>Rev3M +5.4%; Accel3M +8.1ppt; Stock3M +7.5%; EV/EBITDA 3.5x (39th pct); PeakRatio36M 97%; Multiple3M +14.7%; Earnings-Price Gap -2.1%; CycleHeat 60%. Forward EBITDA revisions are positive and non-decelerating, with earnings recovering toward normal cycle levels.</x:v>
      </x:c>
    </x:row>
    <x:row r="94">
      <x:c r="A94" s="32" t="n">
        <x:v>45838</x:v>
      </x:c>
      <x:c r="B94" s="33" t="n">
        <x:v>2.817</x:v>
      </x:c>
      <x:c r="C94" s="40" t="n">
        <x:f>IFERROR((1+B94)/(1+B93)-1,"")</x:f>
        <x:v>0.42787670207990436</x:v>
      </x:c>
      <x:c r="D94" s="40" t="n">
        <x:f>IFERROR((1+B94)/(1+B91)-1,"")</x:f>
        <x:v>0.5312098844672659</x:v>
      </x:c>
      <x:c r="E94" s="40" t="n">
        <x:f>IFERROR((1+B94)/(1+B88)-1,"")</x:f>
        <x:v>0.6791307408059124</x:v>
      </x:c>
      <x:c r="F94" s="36" t="n">
        <x:v>3.7623881116461058</x:v>
      </x:c>
      <x:c r="G94" s="40" t="n">
        <x:f>IFERROR(F94/F91-1,"")</x:f>
        <x:v>0.3152617327333791</x:v>
      </x:c>
      <x:c r="H94" s="38" t="n">
        <x:v>55061.04224628839</x:v>
      </x:c>
      <x:c r="I94" s="40" t="n">
        <x:f>IFERROR(H94/H93-1,"")</x:f>
        <x:v>0.08284358710160622</x:v>
      </x:c>
      <x:c r="J94" s="40" t="n">
        <x:f>IFERROR(H94/H91-1,"")</x:f>
        <x:v>0.1418512932516307</x:v>
      </x:c>
      <x:c r="K94" s="40" t="n">
        <x:f>IFERROR(H94/H88-1,"")</x:f>
        <x:v>0.1418512932516307</x:v>
      </x:c>
      <x:c r="L94" s="40" t="n">
        <x:f>IFERROR(J94-J93,"")</x:f>
        <x:v>0.08735800645296421</x:v>
      </x:c>
      <x:c r="M94" s="40" t="n">
        <x:f>IFERROR(J94-D94,"")</x:f>
        <x:v>-0.3893585912156352</x:v>
      </x:c>
      <x:c r="N94" s="42" t="str">
        <x:f>IF(J94&lt;0,IF(D94&lt;0,"Down-cycle","Price up / earnings down"),IF(AND(J94&gt;0,L94&lt;0,M94&lt;-0.15),"Late-cycle warning",IF(AND(J94&gt;0,M94&gt;0),"Earnings-led expansion",IF(AND(J94&gt;0,D94&lt;0),"Potential dislocation",IF(AND(J94&gt;0,M94&lt;0),"Price ahead / rerating","Neutral")))))</x:f>
        <x:v>Price ahead / rerating</x:v>
      </x:c>
      <x:c r="O94" s="40" t="n">
        <x:v>0.1418512932516307</x:v>
      </x:c>
      <x:c r="P94" s="40" t="n">
        <x:v>0.6396083506568351</x:v>
      </x:c>
      <x:c r="Q94" s="40" t="n">
        <x:v>0.7327400550027068</x:v>
      </x:c>
      <x:c r="R94" s="40" t="n">
        <x:v>0.4788732394366197</x:v>
      </x:c>
      <x:c r="S94" s="40" t="n">
        <x:v>0.5211267605633803</x:v>
      </x:c>
      <x:c r="T94" s="40" t="n">
        <x:v>0.9996382472492256</x:v>
      </x:c>
      <x:c r="U94" s="40" t="n">
        <x:v>1</x:v>
      </x:c>
      <x:c r="V94" s="40" t="n">
        <x:v>0.71120093804309</x:v>
      </x:c>
      <x:c r="W94" s="64" t="str">
        <x:v>Stage 6 – Broad Recovery</x:v>
      </x:c>
      <x:c r="X94" s="64" t="str">
        <x:v>Rev3M +14.2%; Accel3M +14.2ppt; Stock3M +53.1%; EV/EBITDA 3.8x (48th pct); PeakRatio36M 100%; Multiple3M +31.5%; Earnings-Price Gap -38.9%; CycleHeat 71%. Forward EBITDA revisions are positive and non-decelerating, with earnings recovering toward normal cycle levels.</x:v>
      </x:c>
    </x:row>
    <x:row r="95">
      <x:c r="A95" s="32" t="n">
        <x:v>45869</x:v>
      </x:c>
      <x:c r="B95" s="33" t="n">
        <x:v>2.5752</x:v>
      </x:c>
      <x:c r="C95" s="40" t="n">
        <x:f>IFERROR((1+B95)/(1+B94)-1,"")</x:f>
        <x:v>-0.06334817919832325</x:v>
      </x:c>
      <x:c r="D95" s="40" t="n">
        <x:f>IFERROR((1+B95)/(1+B92)-1,"")</x:f>
        <x:v>0.5408352368228246</x:v>
      </x:c>
      <x:c r="E95" s="40" t="n">
        <x:f>IFERROR((1+B95)/(1+B89)-1,"")</x:f>
        <x:v>0.37301739698145076</x:v>
      </x:c>
      <x:c r="F95" s="36" t="n">
        <x:v>3.315392058703704</x:v>
      </x:c>
      <x:c r="G95" s="40" t="n">
        <x:f>IFERROR(F95/F92-1,"")</x:f>
        <x:v>0.2743244312465427</x:v>
      </x:c>
      <x:c r="H95" s="38" t="n">
        <x:v>55061.04224628839</x:v>
      </x:c>
      <x:c r="I95" s="40" t="n">
        <x:f>IFERROR(H95/H94-1,"")</x:f>
        <x:v>0</x:v>
      </x:c>
      <x:c r="J95" s="40" t="n">
        <x:f>IFERROR(H95/H92-1,"")</x:f>
        <x:v>0.054493286798666496</x:v>
      </x:c>
      <x:c r="K95" s="40" t="n">
        <x:f>IFERROR(H95/H89-1,"")</x:f>
        <x:v>0.1418512932516307</x:v>
      </x:c>
      <x:c r="L95" s="40" t="n">
        <x:f>IFERROR(J95-J94,"")</x:f>
        <x:v>-0.08735800645296421</x:v>
      </x:c>
      <x:c r="M95" s="40" t="n">
        <x:f>IFERROR(J95-D95,"")</x:f>
        <x:v>-0.48634195002415814</x:v>
      </x:c>
      <x:c r="N95" s="42" t="str">
        <x:f>IF(J95&lt;0,IF(D95&lt;0,"Down-cycle","Price up / earnings down"),IF(AND(J95&gt;0,L95&lt;0,M95&lt;-0.15),"Late-cycle warning",IF(AND(J95&gt;0,M95&gt;0),"Earnings-led expansion",IF(AND(J95&gt;0,D95&lt;0),"Potential dislocation",IF(AND(J95&gt;0,M95&lt;0),"Price ahead / rerating","Neutral")))))</x:f>
        <x:v>Late-cycle warning</x:v>
      </x:c>
      <x:c r="O95" s="40" t="n">
        <x:v>-0.028350300302939724</x:v>
      </x:c>
      <x:c r="P95" s="40" t="n">
        <x:v>0.5220588235294118</x:v>
      </x:c>
      <x:c r="Q95" s="40" t="n">
        <x:v>0.5400105217590273</x:v>
      </x:c>
      <x:c r="R95" s="40" t="n">
        <x:v>0.3689550202624031</x:v>
      </x:c>
      <x:c r="S95" s="40" t="n">
        <x:v>0.6310449797375969</x:v>
      </x:c>
      <x:c r="T95" s="40" t="n">
        <x:v>1</x:v>
      </x:c>
      <x:c r="U95" s="40" t="n">
        <x:v>1</x:v>
      </x:c>
      <x:c r="V95" s="40" t="n">
        <x:v>0.6439322146225703</x:v>
      </x:c>
      <x:c r="W95" s="64" t="str">
        <x:v>Stage 13 – Mixed / Transition</x:v>
      </x:c>
      <x:c r="X95" s="64" t="str">
        <x:v>Rev3M +5.4%; Accel3M -2.8ppt; Stock3M +54.1%; EV/EBITDA 3.3x (37th pct); PeakRatio36M 100%; Multiple3M +27.4%; Earnings-Price Gap -48.6%; CycleHeat 64%. Signals do not fit one dominant state; treat as a transition and require confirmation from the next 1–3 monthly observations.</x:v>
      </x:c>
    </x:row>
    <x:row r="96">
      <x:c r="A96" s="32" t="n">
        <x:v>45900</x:v>
      </x:c>
      <x:c r="B96" s="33" t="n">
        <x:v>2.5163</x:v>
      </x:c>
      <x:c r="C96" s="40" t="n">
        <x:f>IFERROR((1+B96)/(1+B95)-1,"")</x:f>
        <x:v>-0.0164746028194227</x:v>
      </x:c>
      <x:c r="D96" s="40" t="n">
        <x:f>IFERROR((1+B96)/(1+B93)-1,"")</x:f>
        <x:v>0.3153897950022446</x:v>
      </x:c>
      <x:c r="E96" s="40" t="n">
        <x:f>IFERROR((1+B96)/(1+B90)-1,"")</x:f>
        <x:v>0.4142702006998351</x:v>
      </x:c>
      <x:c r="F96" s="36" t="n">
        <x:v>3.2462361478905817</x:v>
      </x:c>
      <x:c r="G96" s="40" t="n">
        <x:f>IFERROR(F96/F93-1,"")</x:f>
        <x:v>-0.061280910334955085</x:v>
      </x:c>
      <x:c r="H96" s="38" t="n">
        <x:v>60418.663134127455</x:v>
      </x:c>
      <x:c r="I96" s="40" t="n">
        <x:f>IFERROR(H96/H95-1,"")</x:f>
        <x:v>0.0973032959288056</x:v>
      </x:c>
      <x:c r="J96" s="40" t="n">
        <x:f>IFERROR(H96/H93-1,"")</x:f>
        <x:v>0.18820783710196332</x:v>
      </x:c>
      <x:c r="K96" s="40" t="n">
        <x:f>IFERROR(H96/H90-1,"")</x:f>
        <x:v>0.2529571875455836</x:v>
      </x:c>
      <x:c r="L96" s="40" t="n">
        <x:f>IFERROR(J96-J95,"")</x:f>
        <x:v>0.13371455030329682</x:v>
      </x:c>
      <x:c r="M96" s="40" t="n">
        <x:f>IFERROR(J96-D96,"")</x:f>
        <x:v>-0.1271819579002813</x:v>
      </x:c>
      <x:c r="N96" s="42" t="str">
        <x:f>IF(J96&lt;0,IF(D96&lt;0,"Down-cycle","Price up / earnings down"),IF(AND(J96&gt;0,L96&lt;0,M96&lt;-0.15),"Late-cycle warning",IF(AND(J96&gt;0,M96&gt;0),"Earnings-led expansion",IF(AND(J96&gt;0,D96&lt;0),"Potential dislocation",IF(AND(J96&gt;0,M96&lt;0),"Price ahead / rerating","Neutral")))))</x:f>
        <x:v>Price ahead / rerating</x:v>
      </x:c>
      <x:c r="O96" s="40" t="n">
        <x:v>0.13371455030329682</x:v>
      </x:c>
      <x:c r="P96" s="40" t="n">
        <x:v>0.7205882352941179</x:v>
      </x:c>
      <x:c r="Q96" s="40" t="n">
        <x:v>0.7302783486426316</x:v>
      </x:c>
      <x:c r="R96" s="40" t="n">
        <x:v>0.35911781782972535</x:v>
      </x:c>
      <x:c r="S96" s="40" t="n">
        <x:v>0.6408821821702746</x:v>
      </x:c>
      <x:c r="T96" s="40" t="n">
        <x:v>0.9440160639047184</x:v>
      </x:c>
      <x:c r="U96" s="40" t="n">
        <x:v>1</x:v>
      </x:c>
      <x:c r="V96" s="40" t="n">
        <x:v>0.7517551187285978</x:v>
      </x:c>
      <x:c r="W96" s="64" t="str">
        <x:v>Stage 6 – Broad Recovery</x:v>
      </x:c>
      <x:c r="X96" s="64" t="str">
        <x:v>Rev3M +18.8%; Accel3M +13.4ppt; Stock3M +31.5%; EV/EBITDA 3.2x (36th pct); PeakRatio36M 100%; Multiple3M -6.1%; Earnings-Price Gap -12.7%; CycleHeat 75%. Forward EBITDA revisions are positive and non-decelerating, with earnings recovering toward normal cycle levels.</x:v>
      </x:c>
    </x:row>
    <x:row r="97">
      <x:c r="A97" s="32" t="n">
        <x:v>45930</x:v>
      </x:c>
      <x:c r="B97" s="33" t="n">
        <x:v>3.5425</x:v>
      </x:c>
      <x:c r="C97" s="40" t="n">
        <x:f>IFERROR((1+B97)/(1+B96)-1,"")</x:f>
        <x:v>0.29184085544464367</x:v>
      </x:c>
      <x:c r="D97" s="40" t="n">
        <x:f>IFERROR((1+B97)/(1+B94)-1,"")</x:f>
        <x:v>0.19007073618024628</x:v>
      </x:c>
      <x:c r="E97" s="40" t="n">
        <x:f>IFERROR((1+B97)/(1+B91)-1,"")</x:f>
        <x:v>0.8222480744544289</x:v>
      </x:c>
      <x:c r="F97" s="36" t="n">
        <x:v>4.093386257348796</x:v>
      </x:c>
      <x:c r="G97" s="40" t="n">
        <x:f>IFERROR(F97/F94-1,"")</x:f>
        <x:v>0.0879755452868134</x:v>
      </x:c>
      <x:c r="H97" s="38" t="n">
        <x:v>64561.83797716592</x:v>
      </x:c>
      <x:c r="I97" s="40" t="n">
        <x:f>IFERROR(H97/H96-1,"")</x:f>
        <x:v>0.06857442101690903</x:v>
      </x:c>
      <x:c r="J97" s="40" t="n">
        <x:f>IFERROR(H97/H94-1,"")</x:f>
        <x:v>0.1725502341270695</x:v>
      </x:c>
      <x:c r="K97" s="40" t="n">
        <x:f>IFERROR(H97/H91-1,"")</x:f>
        <x:v>0.33887800124049683</x:v>
      </x:c>
      <x:c r="L97" s="40" t="n">
        <x:f>IFERROR(J97-J96,"")</x:f>
        <x:v>-0.015657602974893825</x:v>
      </x:c>
      <x:c r="M97" s="40" t="n">
        <x:f>IFERROR(J97-D97,"")</x:f>
        <x:v>-0.01752050205317679</x:v>
      </x:c>
      <x:c r="N97" s="42" t="str">
        <x:f>IF(J97&lt;0,IF(D97&lt;0,"Down-cycle","Price up / earnings down"),IF(AND(J97&gt;0,L97&lt;0,M97&lt;-0.15),"Late-cycle warning",IF(AND(J97&gt;0,M97&gt;0),"Earnings-led expansion",IF(AND(J97&gt;0,D97&lt;0),"Potential dislocation",IF(AND(J97&gt;0,M97&lt;0),"Price ahead / rerating","Neutral")))))</x:f>
        <x:v>Price ahead / rerating</x:v>
      </x:c>
      <x:c r="O97" s="40" t="n">
        <x:v>0.030698940875438785</x:v>
      </x:c>
      <x:c r="P97" s="40" t="n">
        <x:v>0.6470588235294117</x:v>
      </x:c>
      <x:c r="Q97" s="40" t="n">
        <x:v>0.579121310846615</x:v>
      </x:c>
      <x:c r="R97" s="40" t="n">
        <x:v>0.5633802816901409</x:v>
      </x:c>
      <x:c r="S97" s="40" t="n">
        <x:v>0.43661971830985913</x:v>
      </x:c>
      <x:c r="T97" s="40" t="n">
        <x:v>0.8406008935699844</x:v>
      </x:c>
      <x:c r="U97" s="40" t="n">
        <x:v>1</x:v>
      </x:c>
      <x:c r="V97" s="40" t="n">
        <x:v>0.6266950383229165</x:v>
      </x:c>
      <x:c r="W97" s="64" t="str">
        <x:v>Stage 6 – Broad Recovery</x:v>
      </x:c>
      <x:c r="X97" s="64" t="str">
        <x:v>Rev3M +17.3%; Accel3M +3.1ppt; Stock3M +19.0%; EV/EBITDA 4.1x (56th pct); PeakRatio36M 100%; Multiple3M +8.8%; Earnings-Price Gap -1.8%; CycleHeat 63%. Forward EBITDA revisions are positive and non-decelerating, with earnings recovering toward normal cycle levels.</x:v>
      </x:c>
    </x:row>
    <x:row r="98">
      <x:c r="A98" s="32" t="n">
        <x:v>45961</x:v>
      </x:c>
      <x:c r="B98" s="33" t="n">
        <x:v>6.3072</x:v>
      </x:c>
      <x:c r="C98" s="40" t="n">
        <x:f>IFERROR((1+B98)/(1+B97)-1,"")</x:f>
        <x:v>0.6086296092460097</x:v>
      </x:c>
      <x:c r="D98" s="40" t="n">
        <x:f>IFERROR((1+B98)/(1+B95)-1,"")</x:f>
        <x:v>1.043857686283285</x:v>
      </x:c>
      <x:c r="E98" s="40" t="n">
        <x:f>IFERROR((1+B98)/(1+B92)-1,"")</x:f>
        <x:v>2.1492479420764554</x:v>
      </x:c>
      <x:c r="F98" s="36" t="n">
        <x:v>4.896642372123899</x:v>
      </x:c>
      <x:c r="G98" s="40" t="n">
        <x:f>IFERROR(F98/F95-1,"")</x:f>
        <x:v>0.47694217921196724</x:v>
      </x:c>
      <x:c r="H98" s="38" t="n">
        <x:v>77737.26428290136</x:v>
      </x:c>
      <x:c r="I98" s="40" t="n">
        <x:f>IFERROR(H98/H97-1,"")</x:f>
        <x:v>0.20407452325622</x:v>
      </x:c>
      <x:c r="J98" s="40" t="n">
        <x:f>IFERROR(H98/H95-1,"")</x:f>
        <x:v>0.41183786415052026</x:v>
      </x:c>
      <x:c r="K98" s="40" t="n">
        <x:f>IFERROR(H98/H92-1,"")</x:f>
        <x:v>0.4887735497948913</x:v>
      </x:c>
      <x:c r="L98" s="40" t="n">
        <x:f>IFERROR(J98-J97,"")</x:f>
        <x:v>0.23928763002345077</x:v>
      </x:c>
      <x:c r="M98" s="40" t="n">
        <x:f>IFERROR(J98-D98,"")</x:f>
        <x:v>-0.6320198221327646</x:v>
      </x:c>
      <x:c r="N98" s="42" t="str">
        <x:f>IF(J98&lt;0,IF(D98&lt;0,"Down-cycle","Price up / earnings down"),IF(AND(J98&gt;0,L98&lt;0,M98&lt;-0.15),"Late-cycle warning",IF(AND(J98&gt;0,M98&gt;0),"Earnings-led expansion",IF(AND(J98&gt;0,D98&lt;0),"Potential dislocation",IF(AND(J98&gt;0,M98&lt;0),"Price ahead / rerating","Neutral")))))</x:f>
        <x:v>Price ahead / rerating</x:v>
      </x:c>
      <x:c r="O98" s="40" t="n">
        <x:v>0.35734457735185376</x:v>
      </x:c>
      <x:c r="P98" s="40" t="n">
        <x:v>0.9043142330097756</x:v>
      </x:c>
      <x:c r="Q98" s="40" t="n">
        <x:v>0.9116826369921632</x:v>
      </x:c>
      <x:c r="R98" s="40" t="n">
        <x:v>0.7088707928421514</x:v>
      </x:c>
      <x:c r="S98" s="40" t="n">
        <x:v>0.2911292071578486</x:v>
      </x:c>
      <x:c r="T98" s="40" t="n">
        <x:v>1</x:v>
      </x:c>
      <x:c r="U98" s="40" t="n">
        <x:v>1</x:v>
      </x:c>
      <x:c r="V98" s="40" t="n">
        <x:v>0.802656482233032</x:v>
      </x:c>
      <x:c r="W98" s="64" t="str">
        <x:v>Stage 7 – Earnings Acceleration</x:v>
      </x:c>
      <x:c r="X98" s="64" t="str">
        <x:v>Rev3M +41.2%; Accel3M +35.7ppt; Stock3M +104.4%; EV/EBITDA 4.9x (71th pct); PeakRatio36M 100%; Multiple3M +47.7%; Earnings-Price Gap -63.2%; CycleHeat 80%. EBITDA revision strength is in a high historical percentile and revision momentum is still accelerating.</x:v>
      </x:c>
    </x:row>
    <x:row r="99">
      <x:c r="A99" s="32" t="n">
        <x:v>45991</x:v>
      </x:c>
      <x:c r="B99" s="33" t="n">
        <x:v>5.9281</x:v>
      </x:c>
      <x:c r="C99" s="40" t="n">
        <x:f>IFERROR((1+B99)/(1+B98)-1,"")</x:f>
        <x:v>-0.051880337201664184</x:v>
      </x:c>
      <x:c r="D99" s="40" t="n">
        <x:f>IFERROR((1+B99)/(1+B96)-1,"")</x:f>
        <x:v>0.9702812615533372</x:v>
      </x:c>
      <x:c r="E99" s="40" t="n">
        <x:f>IFERROR((1+B99)/(1+B93)-1,"")</x:f>
        <x:v>1.591687864731408</x:v>
      </x:c>
      <x:c r="F99" s="36" t="n">
        <x:v>4.136758032852629</x:v>
      </x:c>
      <x:c r="G99" s="40" t="n">
        <x:f>IFERROR(F99/F96-1,"")</x:f>
        <x:v>0.2743244312465416</x:v>
      </x:c>
      <x:c r="H99" s="38" t="n">
        <x:v>91150.84743531421</x:v>
      </x:c>
      <x:c r="I99" s="40" t="n">
        <x:f>IFERROR(H99/H98-1,"")</x:f>
        <x:v>0.17255023412707393</x:v>
      </x:c>
      <x:c r="J99" s="40" t="n">
        <x:f>IFERROR(H99/H96-1,"")</x:f>
        <x:v>0.5086538282543973</x:v>
      </x:c>
      <x:c r="K99" s="40" t="n">
        <x:f>IFERROR(H99/H93-1,"")</x:f>
        <x:v>0.7925943022057542</x:v>
      </x:c>
      <x:c r="L99" s="40" t="n">
        <x:f>IFERROR(J99-J98,"")</x:f>
        <x:v>0.09681596410387705</x:v>
      </x:c>
      <x:c r="M99" s="40" t="n">
        <x:f>IFERROR(J99-D99,"")</x:f>
        <x:v>-0.46162743329893985</x:v>
      </x:c>
      <x:c r="N99" s="42" t="str">
        <x:f>IF(J99&lt;0,IF(D99&lt;0,"Down-cycle","Price up / earnings down"),IF(AND(J99&gt;0,L99&lt;0,M99&lt;-0.15),"Late-cycle warning",IF(AND(J99&gt;0,M99&gt;0),"Earnings-led expansion",IF(AND(J99&gt;0,D99&lt;0),"Potential dislocation",IF(AND(J99&gt;0,M99&lt;0),"Price ahead / rerating","Neutral")))))</x:f>
        <x:v>Price ahead / rerating</x:v>
      </x:c>
      <x:c r="O99" s="40" t="n">
        <x:v>0.320445991152434</x:v>
      </x:c>
      <x:c r="P99" s="40" t="n">
        <x:v>0.9204709419548746</x:v>
      </x:c>
      <x:c r="Q99" s="40" t="n">
        <x:v>0.8884086713590494</x:v>
      </x:c>
      <x:c r="R99" s="40" t="n">
        <x:v>0.5915492957746479</x:v>
      </x:c>
      <x:c r="S99" s="40" t="n">
        <x:v>0.4084507042253521</x:v>
      </x:c>
      <x:c r="T99" s="40" t="n">
        <x:v>1</x:v>
      </x:c>
      <x:c r="U99" s="40" t="n">
        <x:v>1</x:v>
      </x:c>
      <x:c r="V99" s="40" t="n">
        <x:v>0.825957138369039</x:v>
      </x:c>
      <x:c r="W99" s="64" t="str">
        <x:v>Stage 7 – Earnings Acceleration</x:v>
      </x:c>
      <x:c r="X99" s="64" t="str">
        <x:v>Rev3M +50.9%; Accel3M +32.0ppt; Stock3M +97.0%; EV/EBITDA 4.1x (59th pct); PeakRatio36M 100%; Multiple3M +27.4%; Earnings-Price Gap -46.2%; CycleHeat 83%. EBITDA revision strength is in a high historical percentile and revision momentum is still accelerating.</x:v>
      </x:c>
    </x:row>
    <x:row r="100">
      <x:c r="A100" s="32" t="n">
        <x:v>46022</x:v>
      </x:c>
      <x:c r="B100" s="33" t="n">
        <x:v>7.5098</x:v>
      </x:c>
      <x:c r="C100" s="40" t="n">
        <x:f>IFERROR((1+B100)/(1+B99)-1,"")</x:f>
        <x:v>0.22830213189763437</x:v>
      </x:c>
      <x:c r="D100" s="40" t="n">
        <x:f>IFERROR((1+B100)/(1+B97)-1,"")</x:f>
        <x:v>0.873373692900385</x:v>
      </x:c>
      <x:c r="E100" s="40" t="n">
        <x:f>IFERROR((1+B100)/(1+B94)-1,"")</x:f>
        <x:v>1.229447209850668</x:v>
      </x:c>
      <x:c r="F100" s="36" t="n">
        <x:v>4.7945030905021735</x:v>
      </x:c>
      <x:c r="G100" s="40" t="n">
        <x:f>IFERROR(F100/F97-1,"")</x:f>
        <x:v>0.17128039942350237</x:v>
      </x:c>
      <x:c r="H100" s="38" t="n">
        <x:v>106878.94750115885</x:v>
      </x:c>
      <x:c r="I100" s="40" t="n">
        <x:f>IFERROR(H100/H99-1,"")</x:f>
        <x:v>0.1725502341270737</x:v>
      </x:c>
      <x:c r="J100" s="40" t="n">
        <x:f>IFERROR(H100/H97-1,"")</x:f>
        <x:v>0.6554508181591663</x:v>
      </x:c>
      <x:c r="K100" s="40" t="n">
        <x:f>IFERROR(H100/H94-1,"")</x:f>
        <x:v>0.9410992444183792</x:v>
      </x:c>
      <x:c r="L100" s="40" t="n">
        <x:f>IFERROR(J100-J99,"")</x:f>
        <x:v>0.14679698990476897</x:v>
      </x:c>
      <x:c r="M100" s="40" t="n">
        <x:f>IFERROR(J100-D100,"")</x:f>
        <x:v>-0.21792287474121874</x:v>
      </x:c>
      <x:c r="N100" s="42" t="str">
        <x:f>IF(J100&lt;0,IF(D100&lt;0,"Down-cycle","Price up / earnings down"),IF(AND(J100&gt;0,L100&lt;0,M100&lt;-0.15),"Late-cycle warning",IF(AND(J100&gt;0,M100&gt;0),"Earnings-led expansion",IF(AND(J100&gt;0,D100&lt;0),"Potential dislocation",IF(AND(J100&gt;0,M100&lt;0),"Price ahead / rerating","Neutral")))))</x:f>
        <x:v>Price ahead / rerating</x:v>
      </x:c>
      <x:c r="O100" s="40" t="n">
        <x:v>0.4829005840320968</x:v>
      </x:c>
      <x:c r="P100" s="40" t="n">
        <x:v>0.9656211077183176</x:v>
      </x:c>
      <x:c r="Q100" s="40" t="n">
        <x:v>0.953657947289983</x:v>
      </x:c>
      <x:c r="R100" s="40" t="n">
        <x:v>0.676056338028169</x:v>
      </x:c>
      <x:c r="S100" s="40" t="n">
        <x:v>0.323943661971831</x:v>
      </x:c>
      <x:c r="T100" s="40" t="n">
        <x:v>1</x:v>
      </x:c>
      <x:c r="U100" s="40" t="n">
        <x:v>1</x:v>
      </x:c>
      <x:c r="V100" s="40" t="n">
        <x:v>0.8411706069182732</x:v>
      </x:c>
      <x:c r="W100" s="64" t="str">
        <x:v>Stage 7 – Earnings Acceleration</x:v>
      </x:c>
      <x:c r="X100" s="64" t="str">
        <x:v>Rev3M +65.5%; Accel3M +48.3ppt; Stock3M +87.3%; EV/EBITDA 4.8x (68th pct); PeakRatio36M 100%; Multiple3M +17.1%; Earnings-Price Gap -21.8%; CycleHeat 84%. EBITDA revision strength is in a high historical percentile and revision momentum is still accelerating.</x:v>
      </x:c>
    </x:row>
    <x:row r="101">
      <x:c r="A101" s="32" t="n">
        <x:v>46053</x:v>
      </x:c>
      <x:c r="B101" s="33" t="n">
        <x:v>10.8824</x:v>
      </x:c>
      <x:c r="C101" s="40" t="n">
        <x:f>IFERROR((1+B101)/(1+B100)-1,"")</x:f>
        <x:v>0.39631953747444126</x:v>
      </x:c>
      <x:c r="D101" s="40" t="n">
        <x:f>IFERROR((1+B101)/(1+B98)-1,"")</x:f>
        <x:v>0.6261221808627109</x:v>
      </x:c>
      <x:c r="E101" s="40" t="n">
        <x:f>IFERROR((1+B101)/(1+B95)-1,"")</x:f>
        <x:v>2.323562318191989</x:v>
      </x:c>
      <x:c r="F101" s="36" t="n">
        <x:v>3.6452844108360307</x:v>
      </x:c>
      <x:c r="G101" s="40" t="n">
        <x:f>IFERROR(F101/F98-1,"")</x:f>
        <x:v>-0.25555428928437274</x:v>
      </x:c>
      <x:c r="H101" s="38" t="n">
        <x:v>163396.48975377023</x:v>
      </x:c>
      <x:c r="I101" s="40" t="n">
        <x:f>IFERROR(H101/H100-1,"")</x:f>
        <x:v>0.5287995772226199</x:v>
      </x:c>
      <x:c r="J101" s="40" t="n">
        <x:f>IFERROR(H101/H98-1,"")</x:f>
        <x:v>1.1019068687462155</x:v>
      </x:c>
      <x:c r="K101" s="40" t="n">
        <x:f>IFERROR(H101/H95-1,"")</x:f>
        <x:v>1.9675517042139652</x:v>
      </x:c>
      <x:c r="L101" s="40" t="n">
        <x:f>IFERROR(J101-J100,"")</x:f>
        <x:v>0.4464560505870492</x:v>
      </x:c>
      <x:c r="M101" s="40" t="n">
        <x:f>IFERROR(J101-D101,"")</x:f>
        <x:v>0.4757846878835046</x:v>
      </x:c>
      <x:c r="N101" s="42" t="str">
        <x:f>IF(J101&lt;0,IF(D101&lt;0,"Down-cycle","Price up / earnings down"),IF(AND(J101&gt;0,L101&lt;0,M101&lt;-0.15),"Late-cycle warning",IF(AND(J101&gt;0,M101&gt;0),"Earnings-led expansion",IF(AND(J101&gt;0,D101&lt;0),"Potential dislocation",IF(AND(J101&gt;0,M101&lt;0),"Price ahead / rerating","Neutral")))))</x:f>
        <x:v>Earnings-led expansion</x:v>
      </x:c>
      <x:c r="O101" s="40" t="n">
        <x:v>0.6900690045956952</x:v>
      </x:c>
      <x:c r="P101" s="40" t="n">
        <x:v>1</x:v>
      </x:c>
      <x:c r="Q101" s="40" t="n">
        <x:v>0.962340685627981</x:v>
      </x:c>
      <x:c r="R101" s="40" t="n">
        <x:v>0.4647887323943662</x:v>
      </x:c>
      <x:c r="S101" s="40" t="n">
        <x:v>0.5352112676056338</x:v>
      </x:c>
      <x:c r="T101" s="40" t="n">
        <x:v>1</x:v>
      </x:c>
      <x:c r="U101" s="40" t="n">
        <x:v>1</x:v>
      </x:c>
      <x:c r="V101" s="40" t="n">
        <x:v>0.897627424928122</x:v>
      </x:c>
      <x:c r="W101" s="64" t="str">
        <x:v>Stage 7 – Earnings Acceleration</x:v>
      </x:c>
      <x:c r="X101" s="64" t="str">
        <x:v>Rev3M +110.2%; Accel3M +69.0ppt; Stock3M +62.6%; EV/EBITDA 3.6x (46th pct); PeakRatio36M 100%; Multiple3M -25.6%; Earnings-Price Gap +47.6%; CycleHeat 90%. EBITDA revision strength is in a high historical percentile and revision momentum is still accelerating.</x:v>
      </x:c>
    </x:row>
    <x:row r="102">
      <x:c r="A102" s="32" t="n">
        <x:v>46081</x:v>
      </x:c>
      <x:c r="B102" s="33" t="n">
        <x:v>12.8693</x:v>
      </x:c>
      <x:c r="C102" s="40" t="n">
        <x:f>IFERROR((1+B102)/(1+B101)-1,"")</x:f>
        <x:v>0.1672136942031912</x:v>
      </x:c>
      <x:c r="D102" s="40" t="n">
        <x:f>IFERROR((1+B102)/(1+B99)-1,"")</x:f>
        <x:v>1.0018908503052786</x:v>
      </x:c>
      <x:c r="E102" s="40" t="n">
        <x:f>IFERROR((1+B102)/(1+B96)-1,"")</x:f>
        <x:v>2.9442880300315672</x:v>
      </x:c>
      <x:c r="F102" s="36" t="n">
        <x:v>3.569247260737165</x:v>
      </x:c>
      <x:c r="G102" s="40" t="n">
        <x:f>IFERROR(F102/F99-1,"")</x:f>
        <x:v>-0.13718732582580373</x:v>
      </x:c>
      <x:c r="H102" s="38" t="n">
        <x:v>186574.49313811937</x:v>
      </x:c>
      <x:c r="I102" s="40" t="n">
        <x:f>IFERROR(H102/H101-1,"")</x:f>
        <x:v>0.1418512932516307</x:v>
      </x:c>
      <x:c r="J102" s="40" t="n">
        <x:f>IFERROR(H102/H99-1,"")</x:f>
        <x:v>1.0468761222491452</x:v>
      </x:c>
      <x:c r="K102" s="40" t="n">
        <x:f>IFERROR(H102/H96-1,"")</x:f>
        <x:v>2.0880274977936883</x:v>
      </x:c>
      <x:c r="L102" s="40" t="n">
        <x:f>IFERROR(J102-J101,"")</x:f>
        <x:v>-0.05503074649707029</x:v>
      </x:c>
      <x:c r="M102" s="40" t="n">
        <x:f>IFERROR(J102-D102,"")</x:f>
        <x:v>0.04498527194386659</x:v>
      </x:c>
      <x:c r="N102" s="42" t="str">
        <x:f>IF(J102&lt;0,IF(D102&lt;0,"Down-cycle","Price up / earnings down"),IF(AND(J102&gt;0,L102&lt;0,M102&lt;-0.15),"Late-cycle warning",IF(AND(J102&gt;0,M102&gt;0),"Earnings-led expansion",IF(AND(J102&gt;0,D102&lt;0),"Potential dislocation",IF(AND(J102&gt;0,M102&lt;0),"Price ahead / rerating","Neutral")))))</x:f>
        <x:v>Earnings-led expansion</x:v>
      </x:c>
      <x:c r="O102" s="40" t="n">
        <x:v>0.5382222939947479</x:v>
      </x:c>
      <x:c r="P102" s="40" t="n">
        <x:v>1</x:v>
      </x:c>
      <x:c r="Q102" s="40" t="n">
        <x:v>0.9560974169099016</x:v>
      </x:c>
      <x:c r="R102" s="40" t="n">
        <x:v>0.43190011961873204</x:v>
      </x:c>
      <x:c r="S102" s="40" t="n">
        <x:v>0.568099880381268</x:v>
      </x:c>
      <x:c r="T102" s="40" t="n">
        <x:v>1</x:v>
      </x:c>
      <x:c r="U102" s="40" t="n">
        <x:v>1</x:v>
      </x:c>
      <x:c r="V102" s="40" t="n">
        <x:v>0.902644330303729</x:v>
      </x:c>
      <x:c r="W102" s="64" t="str">
        <x:v>Stage 7 – Earnings Acceleration</x:v>
      </x:c>
      <x:c r="X102" s="64" t="str">
        <x:v>Rev3M +104.7%; Accel3M +53.8ppt; Stock3M +100.2%; EV/EBITDA 3.6x (43th pct); PeakRatio36M 100%; Multiple3M -13.7%; Earnings-Price Gap +4.5%; CycleHeat 90%. EBITDA revision strength is in a high historical percentile and revision momentum is still accelerating.</x:v>
      </x:c>
    </x:row>
    <x:row r="103">
      <x:c r="A103" s="32" t="n">
        <x:v>46112</x:v>
      </x:c>
      <x:c r="B103" s="33" t="n">
        <x:v>9.549</x:v>
      </x:c>
      <x:c r="C103" s="40" t="n">
        <x:f>IFERROR((1+B103)/(1+B102)-1,"")</x:f>
        <x:v>-0.2393992487003671</x:v>
      </x:c>
      <x:c r="D103" s="40" t="n">
        <x:f>IFERROR((1+B103)/(1+B100)-1,"")</x:f>
        <x:v>0.2396296035159462</x:v>
      </x:c>
      <x:c r="E103" s="40" t="n">
        <x:f>IFERROR((1+B103)/(1+B97)-1,"")</x:f>
        <x:v>1.3222894881673084</x:v>
      </x:c>
      <x:c r="F103" s="36" t="n">
        <x:v>3.458155036613678</x:v>
      </x:c>
      <x:c r="G103" s="40" t="n">
        <x:f>IFERROR(F103/F100-1,"")</x:f>
        <x:v>-0.2787250375405488</x:v>
      </x:c>
      <x:c r="H103" s="38" t="n">
        <x:v>213040.3262775291</x:v>
      </x:c>
      <x:c r="I103" s="40" t="n">
        <x:f>IFERROR(H103/H102-1,"")</x:f>
        <x:v>0.1418512932516307</x:v>
      </x:c>
      <x:c r="J103" s="40" t="n">
        <x:f>IFERROR(H103/H100-1,"")</x:f>
        <x:v>0.9932861546491105</x:v>
      </x:c>
      <x:c r="K103" s="40" t="n">
        <x:f>IFERROR(H103/H97-1,"")</x:f>
        <x:v>2.2997871955392086</x:v>
      </x:c>
      <x:c r="L103" s="40" t="n">
        <x:f>IFERROR(J103-J102,"")</x:f>
        <x:v>-0.05358996760003465</x:v>
      </x:c>
      <x:c r="M103" s="40" t="n">
        <x:f>IFERROR(J103-D103,"")</x:f>
        <x:v>0.7536565511331643</x:v>
      </x:c>
      <x:c r="N103" s="42" t="str">
        <x:f>IF(J103&lt;0,IF(D103&lt;0,"Down-cycle","Price up / earnings down"),IF(AND(J103&gt;0,L103&lt;0,M103&lt;-0.15),"Late-cycle warning",IF(AND(J103&gt;0,M103&gt;0),"Earnings-led expansion",IF(AND(J103&gt;0,D103&lt;0),"Potential dislocation",IF(AND(J103&gt;0,M103&lt;0),"Price ahead / rerating","Neutral")))))</x:f>
        <x:v>Earnings-led expansion</x:v>
      </x:c>
      <x:c r="O103" s="40" t="n">
        <x:v>0.33783533648994424</x:v>
      </x:c>
      <x:c r="P103" s="40" t="n">
        <x:v>1</x:v>
      </x:c>
      <x:c r="Q103" s="40" t="n">
        <x:v>0.9007784233396348</x:v>
      </x:c>
      <x:c r="R103" s="40" t="n">
        <x:v>0.3873239436619718</x:v>
      </x:c>
      <x:c r="S103" s="40" t="n">
        <x:v>0.6126760563380282</x:v>
      </x:c>
      <x:c r="T103" s="40" t="n">
        <x:v>0.8993424252971561</x:v>
      </x:c>
      <x:c r="U103" s="40" t="n">
        <x:v>1</x:v>
      </x:c>
      <x:c r="V103" s="40" t="n">
        <x:v>0.8775983021619456</x:v>
      </x:c>
      <x:c r="W103" s="64" t="str">
        <x:v>Stage 7 – Earnings Acceleration</x:v>
      </x:c>
      <x:c r="X103" s="64" t="str">
        <x:v>Rev3M +99.3%; Accel3M +33.8ppt; Stock3M +24.0%; EV/EBITDA 3.5x (39th pct); PeakRatio36M 100%; Multiple3M -27.9%; Earnings-Price Gap +75.4%; CycleHeat 88%. EBITDA revision strength is in a high historical percentile and revision momentum is still accelerating.</x:v>
      </x:c>
    </x:row>
    <x:row r="104">
      <x:c r="A104" s="32" t="n">
        <x:v>46142</x:v>
      </x:c>
      <x:c r="B104" s="33" t="n">
        <x:v>15.8105</x:v>
      </x:c>
      <x:c r="C104" s="40" t="n">
        <x:f>IFERROR((1+B104)/(1+B103)-1,"")</x:f>
        <x:v>0.5935633709356336</x:v>
      </x:c>
      <x:c r="D104" s="40" t="n">
        <x:f>IFERROR((1+B104)/(1+B101)-1,"")</x:f>
        <x:v>0.4147394465764489</x:v>
      </x:c>
      <x:c r="E104" s="40" t="n">
        <x:f>IFERROR((1+B104)/(1+B98)-1,"")</x:f>
        <x:v>1.3005391942193998</x:v>
      </x:c>
      <x:c r="F104" s="36" t="n">
        <x:v>3.722941411780975</x:v>
      </x:c>
      <x:c r="G104" s="40" t="n">
        <x:f>IFERROR(F104/F101-1,"")</x:f>
        <x:v>0.021303413449469177</x:v>
      </x:c>
      <x:c r="H104" s="38" t="n">
        <x:v>325695.96074445546</x:v>
      </x:c>
      <x:c r="I104" s="40" t="n">
        <x:f>IFERROR(H104/H103-1,"")</x:f>
        <x:v>0.5287995772226197</x:v>
      </x:c>
      <x:c r="J104" s="40" t="n">
        <x:f>IFERROR(H104/H101-1,"")</x:f>
        <x:v>0.9932861546491105</x:v>
      </x:c>
      <x:c r="K104" s="40" t="n">
        <x:f>IFERROR(H104/H98-1,"")</x:f>
        <x:v>3.189701859833697</x:v>
      </x:c>
      <x:c r="L104" s="40" t="n">
        <x:f>IFERROR(J104-J103,"")</x:f>
        <x:v>0</x:v>
      </x:c>
      <x:c r="M104" s="40" t="n">
        <x:f>IFERROR(J104-D104,"")</x:f>
        <x:v>0.5785467080726616</x:v>
      </x:c>
      <x:c r="N104" s="42" t="str">
        <x:f>IF(J104&lt;0,IF(D104&lt;0,"Down-cycle","Price up / earnings down"),IF(AND(J104&gt;0,L104&lt;0,M104&lt;-0.15),"Late-cycle warning",IF(AND(J104&gt;0,M104&gt;0),"Earnings-led expansion",IF(AND(J104&gt;0,D104&lt;0),"Potential dislocation",IF(AND(J104&gt;0,M104&lt;0),"Price ahead / rerating","Neutral")))))</x:f>
        <x:v>Earnings-led expansion</x:v>
      </x:c>
      <x:c r="O104" s="40" t="n">
        <x:v>-0.10862071409710494</x:v>
      </x:c>
      <x:c r="P104" s="40" t="n">
        <x:v>1</x:v>
      </x:c>
      <x:c r="Q104" s="40" t="n">
        <x:v>0.35304545121629244</x:v>
      </x:c>
      <x:c r="R104" s="40" t="n">
        <x:v>0.47412883496262986</x:v>
      </x:c>
      <x:c r="S104" s="40" t="n">
        <x:v>0.5258711650373702</x:v>
      </x:c>
      <x:c r="T104" s="40" t="n">
        <x:v>0.9720355838410302</x:v>
      </x:c>
      <x:c r="U104" s="40" t="n">
        <x:v>1</x:v>
      </x:c>
      <x:c r="V104" s="40" t="n">
        <x:v>0.7378427125797531</x:v>
      </x:c>
      <x:c r="W104" s="64" t="str">
        <x:v>Stage 13 – Mixed / Transition</x:v>
      </x:c>
      <x:c r="X104" s="64" t="str">
        <x:v>Rev3M +99.3%; Accel3M -10.9ppt; Stock3M +41.5%; EV/EBITDA 3.7x (47th pct); PeakRatio36M 100%; Multiple3M +2.1%; Earnings-Price Gap +57.9%; CycleHeat 74%. Signals do not fit one dominant state; treat as a transition and require confirmation from the next 1–3 monthly observations.</x:v>
      </x:c>
    </x:row>
    <x:row r="105">
      <x:c r="A105" s="32" t="n">
        <x:v>46173</x:v>
      </x:c>
      <x:c r="B105" s="33" t="n">
        <x:v>29.4967</x:v>
      </x:c>
      <x:c r="C105" s="40" t="n">
        <x:f>IFERROR((1+B105)/(1+B104)-1,"")</x:f>
        <x:v>0.814145920704322</x:v>
      </x:c>
      <x:c r="D105" s="40" t="n">
        <x:f>IFERROR((1+B105)/(1+B102)-1,"")</x:f>
        <x:v>1.198863677330507</x:v>
      </x:c>
      <x:c r="E105" s="40" t="n">
        <x:f>IFERROR((1+B105)/(1+B99)-1,"")</x:f>
        <x:v>3.4018850767165603</x:v>
      </x:c>
      <x:c r="F105" s="36" t="n">
        <x:v>4.47703569264349</x:v>
      </x:c>
      <x:c r="G105" s="40" t="n">
        <x:f>IFERROR(F105/F102-1,"")</x:f>
        <x:v>0.2543361010295593</x:v>
      </x:c>
      <x:c r="H105" s="38" t="n">
        <x:v>352677.78243703005</x:v>
      </x:c>
      <x:c r="I105" s="40" t="n">
        <x:f>IFERROR(H105/H104-1,"")</x:f>
        <x:v>0.08284358710160622</x:v>
      </x:c>
      <x:c r="J105" s="40" t="n">
        <x:f>IFERROR(H105/H102-1,"")</x:f>
        <x:v>0.8902786576295074</x:v>
      </x:c>
      <x:c r="K105" s="40" t="n">
        <x:f>IFERROR(H105/H99-1,"")</x:f>
        <x:v>2.8691662486990057</x:v>
      </x:c>
      <x:c r="L105" s="40" t="n">
        <x:f>IFERROR(J105-J104,"")</x:f>
        <x:v>-0.1030074970196031</x:v>
      </x:c>
      <x:c r="M105" s="40" t="n">
        <x:f>IFERROR(J105-D105,"")</x:f>
        <x:v>-0.3085850197009996</x:v>
      </x:c>
      <x:c r="N105" s="42" t="str">
        <x:f>IF(J105&lt;0,IF(D105&lt;0,"Down-cycle","Price up / earnings down"),IF(AND(J105&gt;0,L105&lt;0,M105&lt;-0.15),"Late-cycle warning",IF(AND(J105&gt;0,M105&gt;0),"Earnings-led expansion",IF(AND(J105&gt;0,D105&lt;0),"Potential dislocation",IF(AND(J105&gt;0,M105&lt;0),"Price ahead / rerating","Neutral")))))</x:f>
        <x:v>Late-cycle warning</x:v>
      </x:c>
      <x:c r="O105" s="40" t="n">
        <x:v>-0.15659746461963775</x:v>
      </x:c>
      <x:c r="P105" s="40" t="n">
        <x:v>1</x:v>
      </x:c>
      <x:c r="Q105" s="40" t="n">
        <x:v>0.2639656481769382</x:v>
      </x:c>
      <x:c r="R105" s="40" t="n">
        <x:v>0.6210935950562564</x:v>
      </x:c>
      <x:c r="S105" s="40" t="n">
        <x:v>0.3789064049437436</x:v>
      </x:c>
      <x:c r="T105" s="40" t="n">
        <x:v>1</x:v>
      </x:c>
      <x:c r="U105" s="40" t="n">
        <x:v>1</x:v>
      </x:c>
      <x:c r="V105" s="40" t="n">
        <x:v>0.6917726930329833</x:v>
      </x:c>
      <x:c r="W105" s="64" t="str">
        <x:v>Stage 13 – Mixed / Transition</x:v>
      </x:c>
      <x:c r="X105" s="64" t="str">
        <x:v>Rev3M +89.0%; Accel3M -15.7ppt; Stock3M +119.9%; EV/EBITDA 4.5x (62th pct); PeakRatio36M 100%; Multiple3M +25.4%; Earnings-Price Gap -30.9%; CycleHeat 69%. Signals do not fit one dominant state; treat as a transition and require confirmation from the next 1–3 monthly observations.</x:v>
      </x:c>
    </x:row>
    <x:row r="106">
      <x:c r="A106" s="32" t="n">
        <x:v>46203</x:v>
      </x:c>
      <x:c r="B106" s="33" t="n">
        <x:v>33.6405</x:v>
      </x:c>
      <x:c r="C106" s="40" t="n">
        <x:f>IFERROR((1+B106)/(1+B105)-1,"")</x:f>
        <x:v>0.1358769965274933</x:v>
      </x:c>
      <x:c r="D106" s="40" t="n">
        <x:f>IFERROR((1+B106)/(1+B103)-1,"")</x:f>
        <x:v>2.283770973551996</x:v>
      </x:c>
      <x:c r="E106" s="40" t="n">
        <x:f>IFERROR((1+B106)/(1+B100)-1,"")</x:f>
        <x:v>3.0706597099814337</x:v>
      </x:c>
      <x:c r="F106" s="36" t="n">
        <x:v>4.050469212553265</x:v>
      </x:c>
      <x:c r="G106" s="40" t="n">
        <x:f>IFERROR(F106/F103-1,"")</x:f>
        <x:v>0.17128039942350237</x:v>
      </x:c>
      <x:c r="H106" s="38" t="n">
        <x:v>376862.4571731782</x:v>
      </x:c>
      <x:c r="I106" s="40" t="n">
        <x:f>IFERROR(H106/H105-1,"")</x:f>
        <x:v>0.06857442101691302</x:v>
      </x:c>
      <x:c r="J106" s="40" t="n">
        <x:f>IFERROR(H106/H103-1,"")</x:f>
        <x:v>0.7689723995364</x:v>
      </x:c>
      <x:c r="K106" s="40" t="n">
        <x:f>IFERROR(H106/H100-1,"")</x:f>
        <x:v>2.5260681919523207</x:v>
      </x:c>
      <x:c r="L106" s="40" t="n">
        <x:f>IFERROR(J106-J105,"")</x:f>
        <x:v>-0.12130625809310747</x:v>
      </x:c>
      <x:c r="M106" s="40" t="n">
        <x:f>IFERROR(J106-D106,"")</x:f>
        <x:v>-1.514798574015596</x:v>
      </x:c>
      <x:c r="N106" s="42" t="str">
        <x:f>IF(J106&lt;0,IF(D106&lt;0,"Down-cycle","Price up / earnings down"),IF(AND(J106&gt;0,L106&lt;0,M106&lt;-0.15),"Late-cycle warning",IF(AND(J106&gt;0,M106&gt;0),"Earnings-led expansion",IF(AND(J106&gt;0,D106&lt;0),"Potential dislocation",IF(AND(J106&gt;0,M106&lt;0),"Price ahead / rerating","Neutral")))))</x:f>
        <x:v>Late-cycle warning</x:v>
      </x:c>
      <x:c r="O106" s="40" t="n">
        <x:v>-0.22431375511271057</x:v>
      </x:c>
      <x:c r="P106" s="40" t="n">
        <x:v>0.9852941176470589</x:v>
      </x:c>
      <x:c r="Q106" s="40" t="n">
        <x:v>0.13277963876027166</x:v>
      </x:c>
      <x:c r="R106" s="40" t="n">
        <x:v>0.553965890779659</x:v>
      </x:c>
      <x:c r="S106" s="40" t="n">
        <x:v>0.44603410922034104</x:v>
      </x:c>
      <x:c r="T106" s="40" t="n">
        <x:v>1</x:v>
      </x:c>
      <x:c r="U106" s="40" t="n">
        <x:v>1</x:v>
      </x:c>
      <x:c r="V106" s="40" t="n">
        <x:v>0.6672546727106067</x:v>
      </x:c>
      <x:c r="W106" s="64" t="str">
        <x:v>Stage 13 – Mixed / Transition</x:v>
      </x:c>
      <x:c r="X106" s="64" t="str">
        <x:v>Rev3M +76.9%; Accel3M -22.4ppt; Stock3M +228.4%; EV/EBITDA 4.1x (55th pct); PeakRatio36M 100%; Multiple3M +17.1%; Earnings-Price Gap -151.5%; CycleHeat 67%. Signals do not fit one dominant state; treat as a transition and require confirmation from the next 1–3 monthly observations.</x:v>
      </x:c>
    </x:row>
    <x:row r="107">
      <x:c r="A107" s="32" t="n">
        <x:v>46234</x:v>
      </x:c>
      <x:c r="B107" s="33" t="n">
        <x:v>21.4575</x:v>
      </x:c>
      <x:c r="C107" s="40" t="n">
        <x:f>IFERROR((1+B107)/(1+B106)-1,"")</x:f>
        <x:v>-0.3516981567818017</x:v>
      </x:c>
      <x:c r="D107" s="40" t="n">
        <x:f>IFERROR((1+B107)/(1+B104)-1,"")</x:f>
        <x:v>0.33592100175485573</x:v>
      </x:c>
      <x:c r="E107" s="40" t="n">
        <x:f>IFERROR((1+B107)/(1+B101)-1,"")</x:f>
        <x:v>0.8899801386925199</x:v>
      </x:c>
      <x:c r="F107" s="36" t="n">
        <x:v>2.588011415143095</x:v>
      </x:c>
      <x:c r="G107" s="40" t="n">
        <x:f>IFERROR(F107/F104-1,"")</x:f>
        <x:v>-0.3048476650872016</x:v>
      </x:c>
      <x:c r="H107" s="38" t="n">
        <x:v>484887.53163138055</x:v>
      </x:c>
      <x:c r="I107" s="40" t="n">
        <x:f>IFERROR(H107/H106-1,"")</x:f>
        <x:v>0.286643236549726</x:v>
      </x:c>
      <x:c r="J107" s="40" t="n">
        <x:f>IFERROR(H107/H104-1,"")</x:f>
        <x:v>0.4887735497948915</x:v>
      </x:c>
      <x:c r="K107" s="40" t="n">
        <x:f>IFERROR(H107/H101-1,"")</x:f>
        <x:v>1.9675517042139652</x:v>
      </x:c>
      <x:c r="L107" s="40" t="n">
        <x:f>IFERROR(J107-J106,"")</x:f>
        <x:v>-0.28019884974150844</x:v>
      </x:c>
      <x:c r="M107" s="40" t="n">
        <x:f>IFERROR(J107-D107,"")</x:f>
        <x:v>0.15285254804003578</x:v>
      </x:c>
      <x:c r="N107" s="42" t="str">
        <x:f>IF(J107&lt;0,IF(D107&lt;0,"Down-cycle","Price up / earnings down"),IF(AND(J107&gt;0,L107&lt;0,M107&lt;-0.15),"Late-cycle warning",IF(AND(J107&gt;0,M107&gt;0),"Earnings-led expansion",IF(AND(J107&gt;0,D107&lt;0),"Potential dislocation",IF(AND(J107&gt;0,M107&lt;0),"Price ahead / rerating","Neutral")))))</x:f>
        <x:v>Earnings-led expansion</x:v>
      </x:c>
      <x:c r="O107" s="40" t="n">
        <x:v>-0.504512604854219</x:v>
      </x:c>
      <x:c r="P107" s="40" t="n">
        <x:v>0.9175302829560216</x:v>
      </x:c>
      <x:c r="Q107" s="40" t="n">
        <x:v>0.019218003136468962</x:v>
      </x:c>
      <x:c r="R107" s="40" t="n">
        <x:v>0.2229736597991223</x:v>
      </x:c>
      <x:c r="S107" s="40" t="n">
        <x:v>0.7770263402008777</x:v>
      </x:c>
      <x:c r="T107" s="40" t="n">
        <x:v>0.9478560100375839</x:v>
      </x:c>
      <x:c r="U107" s="40" t="n">
        <x:v>1</x:v>
      </x:c>
      <x:c r="V107" s="40" t="n">
        <x:v>0.6709165698664171</x:v>
      </x:c>
      <x:c r="W107" s="64" t="str">
        <x:v>Stage 9 – Late-Cycle Deceleration</x:v>
      </x:c>
      <x:c r="X107" s="64" t="str">
        <x:v>Rev3M +48.9%; Accel3M -50.5ppt; Stock3M +33.6%; EV/EBITDA 2.6x (22th pct); PeakRatio36M 100%; Multiple3M -30.5%; Earnings-Price Gap +15.3%; CycleHeat 67%. Earnings remain near peak and revisions are still positive, but revision acceleration has turned negative while valuation remains cycle-hot.</x:v>
      </x:c>
    </x:row>
    <x:row r="108">
      <x:c r="A108" s="32" t="n">
        <x:v>46240</x:v>
      </x:c>
      <x:c r="B108" s="33" t="n">
        <x:v>18.5425</x:v>
      </x:c>
      <x:c r="C108" s="40" t="n">
        <x:f>IFERROR((1+B108)/(1+B107)-1,"")</x:f>
        <x:v>-0.12980073472113984</x:v>
      </x:c>
      <x:c r="D108" s="40" t="n">
        <x:f>IFERROR((1+B108)/(1+B105)-1,"")</x:f>
        <x:v>-0.35919296186144734</x:v>
      </x:c>
      <x:c r="E108" s="40" t="n">
        <x:f>IFERROR((1+B108)/(1+B102)-1,"")</x:f>
        <x:v>0.4090473203406084</x:v>
      </x:c>
      <x:c r="F108" s="36" t="n">
        <x:v>2.6</x:v>
      </x:c>
      <x:c r="G108" s="40" t="n">
        <x:f>IFERROR(F108/F105-1,"")</x:f>
        <x:v>-0.4192585946383608</x:v>
      </x:c>
      <x:c r="H108" s="38" t="n">
        <x:v>395476.38</x:v>
      </x:c>
      <x:c r="I108" s="40" t="n">
        <x:f>IFERROR(H108/H107-1,"")</x:f>
        <x:v>-0.1843956501223306</x:v>
      </x:c>
      <x:c r="J108" s="40" t="n">
        <x:f>IFERROR(H108/H105-1,"")</x:f>
        <x:v>0.12135325697929833</x:v>
      </x:c>
      <x:c r="K108" s="40" t="n">
        <x:f>IFERROR(H108/H102-1,"")</x:f>
        <x:v>1.119670129331304</x:v>
      </x:c>
      <x:c r="L108" s="40" t="n">
        <x:f>IFERROR(J108-J107,"")</x:f>
        <x:v>-0.3674202928155932</x:v>
      </x:c>
      <x:c r="M108" s="40" t="n">
        <x:f>IFERROR(J108-D108,"")</x:f>
        <x:v>0.48054621884074566</x:v>
      </x:c>
      <x:c r="N108" s="42" t="str">
        <x:f>IF(J108&lt;0,IF(D108&lt;0,"Down-cycle","Price up / earnings down"),IF(AND(J108&gt;0,L108&lt;0,M108&lt;-0.15),"Late-cycle warning",IF(AND(J108&gt;0,M108&gt;0),"Earnings-led expansion",IF(AND(J108&gt;0,D108&lt;0),"Potential dislocation",IF(AND(J108&gt;0,M108&lt;0),"Price ahead / rerating","Neutral")))))</x:f>
        <x:v>Earnings-led expansion</x:v>
      </x:c>
      <x:c r="O108" s="40" t="n">
        <x:v>-0.7689254006502091</x:v>
      </x:c>
      <x:c r="P108" s="40" t="n">
        <x:v>0.6346335841393916</x:v>
      </x:c>
      <x:c r="Q108" s="40" t="n">
        <x:v>0</x:v>
      </x:c>
      <x:c r="R108" s="40" t="n">
        <x:v>0.2250588595419801</x:v>
      </x:c>
      <x:c r="S108" s="40" t="n">
        <x:v>0.7749411404580199</x:v>
      </x:c>
      <x:c r="T108" s="40" t="n">
        <x:v>0</x:v>
      </x:c>
      <x:c r="U108" s="40" t="n">
        <x:v>0.8156043498776694</x:v>
      </x:c>
      <x:c r="V108" s="40" t="n">
        <x:v>0.3771099825403911</x:v>
      </x:c>
      <x:c r="W108" s="64" t="str">
        <x:v>Stage 10 – Price-Led Roll-over</x:v>
      </x:c>
      <x:c r="X108" s="64" t="str">
        <x:v>Rev3M +12.1%; Accel3M -76.9ppt; Stock3M -35.9%; EV/EBITDA 2.6x (23th pct); PeakRatio36M 82%; Multiple3M -41.9%; Earnings-Price Gap +48.1%; CycleHeat 38%. The stock has turned negative before forward EBITDA revisions have turned negative; price may be leading a future earnings slowdown.</x:v>
      </x:c>
    </x:row>
  </x:sheetData>
  <x:mergeCells>
    <x:mergeCell ref="A1:X1"/>
    <x:mergeCell ref="A2:X2"/>
  </x:mergeCells>
  <x:conditionalFormatting sqref="J8:J108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L9:L108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M8:M108">
    <x:cfRule type="colorScale" priority="3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V5:V108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W5:W108">
    <x:cfRule type="expression" dxfId="3" priority="5">
      <x:formula>OR(ISNUMBER(SEARCH("Downturn",W5)),ISNUMBER(SEARCH("Roll-over",W5)))</x:formula>
    </x:cfRule>
    <x:cfRule type="expression" dxfId="4" priority="6">
      <x:formula>OR(ISNUMBER(SEARCH("Recovery",W5)),ISNUMBER(SEARCH("Bottom",W5)),ISNUMBER(SEARCH("Trough",W5)))</x:formula>
    </x:cfRule>
    <x:cfRule type="expression" dxfId="5" priority="7">
      <x:formula>OR(ISNUMBER(SEARCH("Acceleration",W5)),ISNUMBER(SEARCH("High-Cycle",W5)),ISNUMBER(SEARCH("Late-Cycle",W5)))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4b2b1cab964b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7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  <x:col min="13" max="13" width="22" hidden="0" customWidth="1"/>
    <x:col min="14" max="14" width="24" hidden="0" customWidth="1"/>
    <x:col min="15" max="15" width="22" hidden="0" customWidth="1"/>
    <x:col min="16" max="16" width="22" hidden="0" customWidth="1"/>
    <x:col min="17" max="17" width="24" hidden="0" customWidth="1"/>
    <x:col min="18" max="18" width="23" hidden="0" customWidth="1"/>
    <x:col min="19" max="19" width="17" hidden="0" customWidth="1"/>
    <x:col min="20" max="20" width="24" hidden="0" customWidth="1"/>
    <x:col min="21" max="21" width="22" hidden="0" customWidth="1"/>
    <x:col min="22" max="22" width="17" hidden="0" customWidth="1"/>
    <x:col min="23" max="23" width="31" hidden="0" customWidth="1"/>
    <x:col min="24" max="24" width="82" hidden="0" customWidth="1"/>
  </x:cols>
  <x:sheetData>
    <x:row r="1">
      <x:c r="A1" s="5" t="str">
        <x:v>Samsung Electronics — Stock vs NTM EBITDA vs Valuation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3" t="str">
        <x:v>Stock Performance comes from Koyfin export. EV/EBITDA (NTM) and EBITDA Consensus (NTM) are approximate monthly values digitized from the Koyfin charts. Use the derived growth rates for cycle/trend analysis rather than exact point-in-time valuation.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20" t="str">
        <x:v>Date</x:v>
      </x:c>
      <x:c r="B4" s="20" t="str">
        <x:v>Cumulative Stock Perf</x:v>
      </x:c>
      <x:c r="C4" s="20" t="str">
        <x:v>Stock Return 1M</x:v>
      </x:c>
      <x:c r="D4" s="20" t="str">
        <x:v>Stock Return 3M</x:v>
      </x:c>
      <x:c r="E4" s="20" t="str">
        <x:v>Stock Return 6M</x:v>
      </x:c>
      <x:c r="F4" s="20" t="str">
        <x:v>EV/EBITDA NTM (x)</x:v>
      </x:c>
      <x:c r="G4" s="20" t="str">
        <x:v>Multiple Change 3M</x:v>
      </x:c>
      <x:c r="H4" s="20" t="str">
        <x:v>NTM EBITDA (KRW bn)</x:v>
      </x:c>
      <x:c r="I4" s="20" t="str">
        <x:v>EBITDA Revision 1M</x:v>
      </x:c>
      <x:c r="J4" s="20" t="str">
        <x:v>EBITDA Revision 3M</x:v>
      </x:c>
      <x:c r="K4" s="20" t="str">
        <x:v>EBITDA Revision 6M</x:v>
      </x:c>
      <x:c r="L4" s="20" t="str">
        <x:v>EBITDA Revision Accel</x:v>
      </x:c>
      <x:c r="M4" s="20" t="str">
        <x:v>Earnings - Price Gap 3M</x:v>
      </x:c>
      <x:c r="N4" s="20" t="str">
        <x:v>Signal</x:v>
      </x:c>
      <x:c r="O4" s="63" t="str">
        <x:v>EBITDA Revision Accel 3M</x:v>
      </x:c>
      <x:c r="P4" s="63" t="str">
        <x:v>Revision Hist Percentile</x:v>
      </x:c>
      <x:c r="Q4" s="63" t="str">
        <x:v>Acceleration Hist Percentile</x:v>
      </x:c>
      <x:c r="R4" s="63" t="str">
        <x:v>EV/EBITDA Hist Percentile</x:v>
      </x:c>
      <x:c r="S4" s="63" t="str">
        <x:v>Valuation Heat</x:v>
      </x:c>
      <x:c r="T4" s="63" t="str">
        <x:v>Stock Return Hist Percentile</x:v>
      </x:c>
      <x:c r="U4" s="63" t="str">
        <x:v>EBITDA Peak Ratio (36M)</x:v>
      </x:c>
      <x:c r="V4" s="63" t="str">
        <x:v>Cycle Heat Score</x:v>
      </x:c>
      <x:c r="W4" s="63" t="str">
        <x:v>Cycle Stage</x:v>
      </x:c>
      <x:c r="X4" s="63" t="str">
        <x:v>Cycle Reason</x:v>
      </x:c>
    </x:row>
    <x:row r="5">
      <x:c r="A5" s="32" t="n">
        <x:v>43131</x:v>
      </x:c>
      <x:c r="B5" s="33" t="n">
        <x:v>-0.0208</x:v>
      </x:c>
      <x:c r="C5" s="40"/>
      <x:c r="D5" s="40"/>
      <x:c r="E5" s="40"/>
      <x:c r="F5" s="36" t="n">
        <x:v>3.0401158291309662</x:v>
      </x:c>
      <x:c r="G5" s="40"/>
      <x:c r="H5" s="38" t="n">
        <x:v>91926.2269500021</x:v>
      </x:c>
      <x:c r="I5" s="40"/>
      <x:c r="J5" s="40"/>
      <x:c r="K5" s="40"/>
      <x:c r="L5" s="40"/>
      <x:c r="M5" s="40"/>
      <x:c r="N5" s="42"/>
      <x:c r="O5" s="40"/>
      <x:c r="P5" s="40"/>
      <x:c r="Q5" s="40"/>
      <x:c r="R5" s="40" t="n">
        <x:v>0.14084507042253522</x:v>
      </x:c>
      <x:c r="S5" s="40" t="n">
        <x:v>0.8591549295774648</x:v>
      </x:c>
      <x:c r="T5" s="40"/>
      <x:c r="U5" s="40" t="n">
        <x:v>1</x:v>
      </x:c>
      <x:c r="V5" s="40"/>
      <x:c r="W5" s="64" t="str">
        <x:v>Stage 0 – Insufficient History</x:v>
      </x:c>
      <x:c r="X5" s="64" t="str">
        <x:v>Rev3M n/a; Accel3M n/a; Stock3M n/a; EV/EBITDA 3.0x (14th pct); PeakRatio36M 100%; Multiple3M n/a; Earnings-Price Gap n/a; CycleHeat n/a. Not enough 3M history to classify reliably.</x:v>
      </x:c>
    </x:row>
    <x:row r="6">
      <x:c r="A6" s="32" t="n">
        <x:v>43159</x:v>
      </x:c>
      <x:c r="B6" s="33" t="n">
        <x:v>-0.0765</x:v>
      </x:c>
      <x:c r="C6" s="40" t="n">
        <x:f>IFERROR((1+B6)/(1+B5)-1,"")</x:f>
        <x:v>-0.05688316993464049</x:v>
      </x:c>
      <x:c r="D6" s="40"/>
      <x:c r="E6" s="40"/>
      <x:c r="F6" s="36" t="n">
        <x:v>2.779098261027382</x:v>
      </x:c>
      <x:c r="G6" s="40"/>
      <x:c r="H6" s="38" t="n">
        <x:v>90614.8639333765</x:v>
      </x:c>
      <x:c r="I6" s="40" t="n">
        <x:f>IFERROR(H6/H5-1,"")</x:f>
        <x:v>-0.014265384973744744</x:v>
      </x:c>
      <x:c r="J6" s="40"/>
      <x:c r="K6" s="40"/>
      <x:c r="L6" s="40"/>
      <x:c r="M6" s="40"/>
      <x:c r="N6" s="42"/>
      <x:c r="O6" s="40"/>
      <x:c r="P6" s="40"/>
      <x:c r="Q6" s="40"/>
      <x:c r="R6" s="40" t="n">
        <x:v>0.09859154929577464</x:v>
      </x:c>
      <x:c r="S6" s="40" t="n">
        <x:v>0.9014084507042254</x:v>
      </x:c>
      <x:c r="T6" s="40"/>
      <x:c r="U6" s="40" t="n">
        <x:v>0.9857346150262553</x:v>
      </x:c>
      <x:c r="V6" s="40"/>
      <x:c r="W6" s="64" t="str">
        <x:v>Stage 0 – Insufficient History</x:v>
      </x:c>
      <x:c r="X6" s="64" t="str">
        <x:v>Rev3M n/a; Accel3M n/a; Stock3M n/a; EV/EBITDA 2.8x (10th pct); PeakRatio36M 99%; Multiple3M n/a; Earnings-Price Gap n/a; CycleHeat n/a. Not enough 3M history to classify reliably.</x:v>
      </x:c>
    </x:row>
    <x:row r="7">
      <x:c r="A7" s="32" t="n">
        <x:v>43190</x:v>
      </x:c>
      <x:c r="B7" s="33" t="n">
        <x:v>-0.0341</x:v>
      </x:c>
      <x:c r="C7" s="40" t="n">
        <x:f>IFERROR((1+B7)/(1+B6)-1,"")</x:f>
        <x:v>0.045912290200324835</x:v>
      </x:c>
      <x:c r="D7" s="40"/>
      <x:c r="E7" s="40"/>
      <x:c r="F7" s="36" t="n">
        <x:v>3.0583642786131002</x:v>
      </x:c>
      <x:c r="G7" s="40"/>
      <x:c r="H7" s="38" t="n">
        <x:v>89322.2080150234</x:v>
      </x:c>
      <x:c r="I7" s="40" t="n">
        <x:f>IFERROR(H7/H6-1,"")</x:f>
        <x:v>-0.014265384973744633</x:v>
      </x:c>
      <x:c r="J7" s="40"/>
      <x:c r="K7" s="40"/>
      <x:c r="L7" s="40"/>
      <x:c r="M7" s="40"/>
      <x:c r="N7" s="42"/>
      <x:c r="O7" s="40"/>
      <x:c r="P7" s="40"/>
      <x:c r="Q7" s="40"/>
      <x:c r="R7" s="40" t="n">
        <x:v>0.15492957746478872</x:v>
      </x:c>
      <x:c r="S7" s="40" t="n">
        <x:v>0.8450704225352113</x:v>
      </x:c>
      <x:c r="T7" s="40"/>
      <x:c r="U7" s="40" t="n">
        <x:v>0.9716727312609598</x:v>
      </x:c>
      <x:c r="V7" s="40"/>
      <x:c r="W7" s="64" t="str">
        <x:v>Stage 0 – Insufficient History</x:v>
      </x:c>
      <x:c r="X7" s="64" t="str">
        <x:v>Rev3M n/a; Accel3M n/a; Stock3M n/a; EV/EBITDA 3.1x (15th pct); PeakRatio36M 97%; Multiple3M n/a; Earnings-Price Gap n/a; CycleHeat n/a. Not enough 3M history to classify reliably.</x:v>
      </x:c>
    </x:row>
    <x:row r="8">
      <x:c r="A8" s="32" t="n">
        <x:v>43220</x:v>
      </x:c>
      <x:c r="B8" s="33" t="n">
        <x:v>0.04</x:v>
      </x:c>
      <x:c r="C8" s="40" t="n">
        <x:f>IFERROR((1+B8)/(1+B7)-1,"")</x:f>
        <x:v>0.07671601615074031</x:v>
      </x:c>
      <x:c r="D8" s="40" t="n">
        <x:f>IFERROR((1+B8)/(1+B5)-1,"")</x:f>
        <x:v>0.06209150326797386</x:v>
      </x:c>
      <x:c r="E8" s="40"/>
      <x:c r="F8" s="36" t="n">
        <x:v>3.0767222653389505</x:v>
      </x:c>
      <x:c r="G8" s="40" t="n">
        <x:f>IFERROR(F8/F5-1,"")</x:f>
        <x:v>0.012041132070434557</x:v>
      </x:c>
      <x:c r="H8" s="38" t="n">
        <x:v>89322.2080150234</x:v>
      </x:c>
      <x:c r="I8" s="40" t="n">
        <x:f>IFERROR(H8/H7-1,"")</x:f>
        <x:v>0</x:v>
      </x:c>
      <x:c r="J8" s="40" t="n">
        <x:f>IFERROR(H8/H5-1,"")</x:f>
        <x:v>-0.028327268739040234</x:v>
      </x:c>
      <x:c r="K8" s="40"/>
      <x:c r="L8" s="40"/>
      <x:c r="M8" s="40" t="n">
        <x:f>IFERROR(J8-D8,"")</x:f>
        <x:v>-0.09041877200701409</x:v>
      </x:c>
      <x:c r="N8" s="42"/>
      <x:c r="O8" s="40"/>
      <x:c r="P8" s="40" t="n">
        <x:v>0.38235294117647056</x:v>
      </x:c>
      <x:c r="Q8" s="40"/>
      <x:c r="R8" s="40" t="n">
        <x:v>0.16901408450704225</x:v>
      </x:c>
      <x:c r="S8" s="40" t="n">
        <x:v>0.8309859154929577</x:v>
      </x:c>
      <x:c r="T8" s="40" t="n">
        <x:v>0.6470588235294118</x:v>
      </x:c>
      <x:c r="U8" s="40" t="n">
        <x:v>0.9716727312609598</x:v>
      </x:c>
      <x:c r="V8" s="40"/>
      <x:c r="W8" s="64" t="str">
        <x:v>Stage 0 – Insufficient History</x:v>
      </x:c>
      <x:c r="X8" s="64" t="str">
        <x:v>Rev3M -2.8%; Accel3M n/a; Stock3M +6.2%; EV/EBITDA 3.1x (17th pct); PeakRatio36M 97%; Multiple3M +1.2%; Earnings-Price Gap -9.0%; CycleHeat n/a. Not enough 3M history to classify reliably.</x:v>
      </x:c>
    </x:row>
    <x:row r="9">
      <x:c r="A9" s="32" t="n">
        <x:v>43251</x:v>
      </x:c>
      <x:c r="B9" s="33" t="n">
        <x:v>-0.0051</x:v>
      </x:c>
      <x:c r="C9" s="40" t="n">
        <x:f>IFERROR((1+B9)/(1+B8)-1,"")</x:f>
        <x:v>-0.04336538461538464</x:v>
      </x:c>
      <x:c r="D9" s="40" t="n">
        <x:f>IFERROR((1+B9)/(1+B6)-1,"")</x:f>
        <x:v>0.07731456415809412</x:v>
      </x:c>
      <x:c r="E9" s="40"/>
      <x:c r="F9" s="36" t="n">
        <x:v>3.003944931478718</x:v>
      </x:c>
      <x:c r="G9" s="40" t="n">
        <x:f>IFERROR(F9/F6-1,"")</x:f>
        <x:v>0.0809063405941659</x:v>
      </x:c>
      <x:c r="H9" s="38" t="n">
        <x:v>91926.2269500021</x:v>
      </x:c>
      <x:c r="I9" s="40" t="n">
        <x:f>IFERROR(H9/H8-1,"")</x:f>
        <x:v>0.029153096333452977</x:v>
      </x:c>
      <x:c r="J9" s="40" t="n">
        <x:f>IFERROR(H9/H6-1,"")</x:f>
        <x:v>0.014471831217335085</x:v>
      </x:c>
      <x:c r="K9" s="40"/>
      <x:c r="L9" s="40" t="n">
        <x:f>IFERROR(J9-J8,"")</x:f>
        <x:v>0.04279909995637532</x:v>
      </x:c>
      <x:c r="M9" s="40" t="n">
        <x:f>IFERROR(J9-D9,"")</x:f>
        <x:v>-0.06284273294075904</x:v>
      </x:c>
      <x:c r="N9" s="42" t="str">
        <x:f>IF(J9&lt;0,IF(D9&lt;0,"Down-cycle","Price up / earnings down"),IF(AND(J9&gt;0,L9&lt;0,M9&lt;-0.15),"Late-cycle warning",IF(AND(J9&gt;0,M9&gt;0),"Earnings-led expansion",IF(AND(J9&gt;0,D9&lt;0),"Potential dislocation",IF(AND(J9&gt;0,M9&lt;0),"Price ahead / rerating","Neutral")))))</x:f>
        <x:v>Price ahead / rerating</x:v>
      </x:c>
      <x:c r="O9" s="40"/>
      <x:c r="P9" s="40" t="n">
        <x:v>0.5</x:v>
      </x:c>
      <x:c r="Q9" s="40"/>
      <x:c r="R9" s="40" t="n">
        <x:v>0.1267605633802817</x:v>
      </x:c>
      <x:c r="S9" s="40" t="n">
        <x:v>0.8732394366197183</x:v>
      </x:c>
      <x:c r="T9" s="40" t="n">
        <x:v>0.7058823529411765</x:v>
      </x:c>
      <x:c r="U9" s="40" t="n">
        <x:v>1</x:v>
      </x:c>
      <x:c r="V9" s="40"/>
      <x:c r="W9" s="64" t="str">
        <x:v>Stage 0 – Insufficient History</x:v>
      </x:c>
      <x:c r="X9" s="64" t="str">
        <x:v>Rev3M +1.4%; Accel3M n/a; Stock3M +7.7%; EV/EBITDA 3.0x (13th pct); PeakRatio36M 100%; Multiple3M +8.1%; Earnings-Price Gap -6.3%; CycleHeat n/a. Not enough 3M history to classify reliably.</x:v>
      </x:c>
    </x:row>
    <x:row r="10">
      <x:c r="A10" s="32" t="n">
        <x:v>43281</x:v>
      </x:c>
      <x:c r="B10" s="33" t="n">
        <x:v>-0.0846</x:v>
      </x:c>
      <x:c r="C10" s="40" t="n">
        <x:f>IFERROR((1+B10)/(1+B9)-1,"")</x:f>
        <x:v>-0.07990752839481352</x:v>
      </x:c>
      <x:c r="D10" s="40" t="n">
        <x:f>IFERROR((1+B10)/(1+B7)-1,"")</x:f>
        <x:v>-0.0522828450150119</x:v>
      </x:c>
      <x:c r="E10" s="40"/>
      <x:c r="F10" s="36" t="n">
        <x:v>2.6333717092927595</x:v>
      </x:c>
      <x:c r="G10" s="40" t="n">
        <x:f>IFERROR(F10/F7-1,"")</x:f>
        <x:v>-0.13896074195356</x:v>
      </x:c>
      <x:c r="H10" s="38" t="n">
        <x:v>93256.56779086898</x:v>
      </x:c>
      <x:c r="I10" s="40" t="n">
        <x:f>IFERROR(H10/H9-1,"")</x:f>
        <x:v>0.014471831217335085</x:v>
      </x:c>
      <x:c r="J10" s="40" t="n">
        <x:f>IFERROR(H10/H7-1,"")</x:f>
        <x:v>0.04404682624038858</x:v>
      </x:c>
      <x:c r="K10" s="40"/>
      <x:c r="L10" s="40" t="n">
        <x:f>IFERROR(J10-J9,"")</x:f>
        <x:v>0.029574995023053496</x:v>
      </x:c>
      <x:c r="M10" s="40" t="n">
        <x:f>IFERROR(J10-D10,"")</x:f>
        <x:v>0.09632967125540048</x:v>
      </x:c>
      <x:c r="N10" s="42" t="str">
        <x:f>IF(J10&lt;0,IF(D10&lt;0,"Down-cycle","Price up / earnings down"),IF(AND(J10&gt;0,L10&lt;0,M10&lt;-0.15),"Late-cycle warning",IF(AND(J10&gt;0,M10&gt;0),"Earnings-led expansion",IF(AND(J10&gt;0,D10&lt;0),"Potential dislocation",IF(AND(J10&gt;0,M10&lt;0),"Price ahead / rerating","Neutral")))))</x:f>
        <x:v>Earnings-led expansion</x:v>
      </x:c>
      <x:c r="O10" s="40"/>
      <x:c r="P10" s="40" t="n">
        <x:v>0.6323529411764706</x:v>
      </x:c>
      <x:c r="Q10" s="40"/>
      <x:c r="R10" s="40" t="n">
        <x:v>0.07746478873239436</x:v>
      </x:c>
      <x:c r="S10" s="40" t="n">
        <x:v>0.9225352112676056</x:v>
      </x:c>
      <x:c r="T10" s="40" t="n">
        <x:v>0.29411764705882354</x:v>
      </x:c>
      <x:c r="U10" s="40" t="n">
        <x:v>1</x:v>
      </x:c>
      <x:c r="V10" s="40"/>
      <x:c r="W10" s="64" t="str">
        <x:v>Stage 0 – Insufficient History</x:v>
      </x:c>
      <x:c r="X10" s="64" t="str">
        <x:v>Rev3M +4.4%; Accel3M n/a; Stock3M -5.2%; EV/EBITDA 2.6x (8th pct); PeakRatio36M 100%; Multiple3M -13.9%; Earnings-Price Gap +9.6%; CycleHeat n/a. Not enough 3M history to classify reliably.</x:v>
      </x:c>
    </x:row>
    <x:row r="11">
      <x:c r="A11" s="32" t="n">
        <x:v>43312</x:v>
      </x:c>
      <x:c r="B11" s="33" t="n">
        <x:v>-0.0924</x:v>
      </x:c>
      <x:c r="C11" s="40" t="n">
        <x:f>IFERROR((1+B11)/(1+B10)-1,"")</x:f>
        <x:v>-0.00852086519554296</x:v>
      </x:c>
      <x:c r="D11" s="40" t="n">
        <x:f>IFERROR((1+B11)/(1+B8)-1,"")</x:f>
        <x:v>-0.12730769230769234</x:v>
      </x:c>
      <x:c r="E11" s="40" t="n">
        <x:f>IFERROR((1+B11)/(1+B5)-1,"")</x:f>
        <x:v>-0.0731209150326797</x:v>
      </x:c>
      <x:c r="F11" s="36" t="n">
        <x:v>2.6176590778901647</x:v>
      </x:c>
      <x:c r="G11" s="40" t="n">
        <x:f>IFERROR(F11/F8-1,"")</x:f>
        <x:v>-0.14920527361874591</x:v>
      </x:c>
      <x:c r="H11" s="38" t="n">
        <x:v>91926.2269500021</x:v>
      </x:c>
      <x:c r="I11" s="40" t="n">
        <x:f>IFERROR(H11/H10-1,"")</x:f>
        <x:v>-0.014265384973744855</x:v>
      </x:c>
      <x:c r="J11" s="40" t="n">
        <x:f>IFERROR(H11/H8-1,"")</x:f>
        <x:v>0.029153096333452977</x:v>
      </x:c>
      <x:c r="K11" s="40" t="n">
        <x:f>IFERROR(H11/H5-1,"")</x:f>
        <x:v>0</x:v>
      </x:c>
      <x:c r="L11" s="40" t="n">
        <x:f>IFERROR(J11-J10,"")</x:f>
        <x:v>-0.014893729906935604</x:v>
      </x:c>
      <x:c r="M11" s="40" t="n">
        <x:f>IFERROR(J11-D11,"")</x:f>
        <x:v>0.15646078864114532</x:v>
      </x:c>
      <x:c r="N11" s="42" t="str">
        <x:f>IF(J11&lt;0,IF(D11&lt;0,"Down-cycle","Price up / earnings down"),IF(AND(J11&gt;0,L11&lt;0,M11&lt;-0.15),"Late-cycle warning",IF(AND(J11&gt;0,M11&gt;0),"Earnings-led expansion",IF(AND(J11&gt;0,D11&lt;0),"Potential dislocation",IF(AND(J11&gt;0,M11&lt;0),"Price ahead / rerating","Neutral")))))</x:f>
        <x:v>Earnings-led expansion</x:v>
      </x:c>
      <x:c r="O11" s="40" t="n">
        <x:v>0.05748036507249321</x:v>
      </x:c>
      <x:c r="P11" s="40" t="n">
        <x:v>0.5588235294117647</x:v>
      </x:c>
      <x:c r="Q11" s="40" t="n">
        <x:v>0.5692307692307692</x:v>
      </x:c>
      <x:c r="R11" s="40" t="n">
        <x:v>0.056338028169014086</x:v>
      </x:c>
      <x:c r="S11" s="40" t="n">
        <x:v>0.9436619718309859</x:v>
      </x:c>
      <x:c r="T11" s="40" t="n">
        <x:v>0.058823529411764705</x:v>
      </x:c>
      <x:c r="U11" s="40" t="n">
        <x:v>0.9857346150262551</x:v>
      </x:c>
      <x:c r="V11" s="40" t="n">
        <x:v>0.53839302785036</x:v>
      </x:c>
      <x:c r="W11" s="64" t="str">
        <x:v>Stage 8 – High-Cycle Expansion</x:v>
      </x:c>
      <x:c r="X11" s="64" t="str">
        <x:v>Rev3M +2.9%; Accel3M +5.7ppt; Stock3M -12.7%; EV/EBITDA 2.6x (6th pct); PeakRatio36M 99%; Multiple3M -14.9%; Earnings-Price Gap +15.6%; CycleHeat 54%. Forward EBITDA is near a 36M high, revisions remain positive, and EV/EBITDA is at a low historical percentile—classic high-profit-cycle conditions.</x:v>
      </x:c>
    </x:row>
    <x:row r="12">
      <x:c r="A12" s="32" t="n">
        <x:v>43343</x:v>
      </x:c>
      <x:c r="B12" s="33" t="n">
        <x:v>-0.0493</x:v>
      </x:c>
      <x:c r="C12" s="40" t="n">
        <x:f>IFERROR((1+B12)/(1+B11)-1,"")</x:f>
        <x:v>0.04748788012340244</x:v>
      </x:c>
      <x:c r="D12" s="40" t="n">
        <x:f>IFERROR((1+B12)/(1+B9)-1,"")</x:f>
        <x:v>-0.04442657553522966</x:v>
      </x:c>
      <x:c r="E12" s="40" t="n">
        <x:f>IFERROR((1+B12)/(1+B6)-1,"")</x:f>
        <x:v>0.029453167298321592</x:v>
      </x:c>
      <x:c r="F12" s="36" t="n">
        <x:v>2.6333717092927595</x:v>
      </x:c>
      <x:c r="G12" s="40" t="n">
        <x:f>IFERROR(F12/F9-1,"")</x:f>
        <x:v>-0.12336218893451567</x:v>
      </x:c>
      <x:c r="H12" s="38" t="n">
        <x:v>93256.56779086898</x:v>
      </x:c>
      <x:c r="I12" s="40" t="n">
        <x:f>IFERROR(H12/H11-1,"")</x:f>
        <x:v>0.014471831217335085</x:v>
      </x:c>
      <x:c r="J12" s="40" t="n">
        <x:f>IFERROR(H12/H9-1,"")</x:f>
        <x:v>0.014471831217335085</x:v>
      </x:c>
      <x:c r="K12" s="40" t="n">
        <x:f>IFERROR(H12/H6-1,"")</x:f>
        <x:v>0.0291530963334532</x:v>
      </x:c>
      <x:c r="L12" s="40" t="n">
        <x:f>IFERROR(J12-J11,"")</x:f>
        <x:v>-0.014681265116117892</x:v>
      </x:c>
      <x:c r="M12" s="40" t="n">
        <x:f>IFERROR(J12-D12,"")</x:f>
        <x:v>0.05889840675256475</x:v>
      </x:c>
      <x:c r="N12" s="42" t="str">
        <x:f>IF(J12&lt;0,IF(D12&lt;0,"Down-cycle","Price up / earnings down"),IF(AND(J12&gt;0,L12&lt;0,M12&lt;-0.15),"Late-cycle warning",IF(AND(J12&gt;0,M12&gt;0),"Earnings-led expansion",IF(AND(J12&gt;0,D12&lt;0),"Potential dislocation",IF(AND(J12&gt;0,M12&lt;0),"Price ahead / rerating","Neutral")))))</x:f>
        <x:v>Earnings-led expansion</x:v>
      </x:c>
      <x:c r="O12" s="40" t="n">
        <x:v>0</x:v>
      </x:c>
      <x:c r="P12" s="40" t="n">
        <x:v>0.5</x:v>
      </x:c>
      <x:c r="Q12" s="40" t="n">
        <x:v>0.4307692307692308</x:v>
      </x:c>
      <x:c r="R12" s="40" t="n">
        <x:v>0.07746478873239436</x:v>
      </x:c>
      <x:c r="S12" s="40" t="n">
        <x:v>0.9225352112676056</x:v>
      </x:c>
      <x:c r="T12" s="40" t="n">
        <x:v>0.3235294117647059</x:v>
      </x:c>
      <x:c r="U12" s="40" t="n">
        <x:v>1</x:v>
      </x:c>
      <x:c r="V12" s="40" t="n">
        <x:v>0.53190523229877</x:v>
      </x:c>
      <x:c r="W12" s="64" t="str">
        <x:v>Stage 8 – High-Cycle Expansion</x:v>
      </x:c>
      <x:c r="X12" s="64" t="str">
        <x:v>Rev3M +1.4%; Accel3M +0.0ppt; Stock3M -4.4%; EV/EBITDA 2.6x (8th pct); PeakRatio36M 100%; Multiple3M -12.3%; Earnings-Price Gap +5.9%; CycleHeat 53%. Forward EBITDA is near a 36M high, revisions remain positive, and EV/EBITDA is at a low historical percentile—classic high-profit-cycle conditions.</x:v>
      </x:c>
    </x:row>
    <x:row r="13">
      <x:c r="A13" s="32" t="n">
        <x:v>43373</x:v>
      </x:c>
      <x:c r="B13" s="33" t="n">
        <x:v>-0.0885</x:v>
      </x:c>
      <x:c r="C13" s="40" t="n">
        <x:f>IFERROR((1+B13)/(1+B12)-1,"")</x:f>
        <x:v>-0.041232775849374126</x:v>
      </x:c>
      <x:c r="D13" s="40" t="n">
        <x:f>IFERROR((1+B13)/(1+B10)-1,"")</x:f>
        <x:v>-0.004260432597771535</x:v>
      </x:c>
      <x:c r="E13" s="40" t="n">
        <x:f>IFERROR((1+B13)/(1+B7)-1,"")</x:f>
        <x:v>-0.056320530075577135</x:v>
      </x:c>
      <x:c r="F13" s="36" t="n">
        <x:v>2.6020401995968343</x:v>
      </x:c>
      <x:c r="G13" s="40" t="n">
        <x:f>IFERROR(F13/F10-1,"")</x:f>
        <x:v>-0.011897868267271683</x:v>
      </x:c>
      <x:c r="H13" s="38" t="n">
        <x:v>91926.2269500021</x:v>
      </x:c>
      <x:c r="I13" s="40" t="n">
        <x:f>IFERROR(H13/H12-1,"")</x:f>
        <x:v>-0.014265384973744855</x:v>
      </x:c>
      <x:c r="J13" s="40" t="n">
        <x:f>IFERROR(H13/H10-1,"")</x:f>
        <x:v>-0.014265384973744855</x:v>
      </x:c>
      <x:c r="K13" s="40" t="n">
        <x:f>IFERROR(H13/H7-1,"")</x:f>
        <x:v>0.029153096333452977</x:v>
      </x:c>
      <x:c r="L13" s="40" t="n">
        <x:f>IFERROR(J13-J12,"")</x:f>
        <x:v>-0.02873721619107994</x:v>
      </x:c>
      <x:c r="M13" s="40" t="n">
        <x:f>IFERROR(J13-D13,"")</x:f>
        <x:v>-0.01000495237597332</x:v>
      </x:c>
      <x:c r="N13" s="42" t="str">
        <x:f>IF(J13&lt;0,IF(D13&lt;0,"Down-cycle","Price up / earnings down"),IF(AND(J13&gt;0,L13&lt;0,M13&lt;-0.15),"Late-cycle warning",IF(AND(J13&gt;0,M13&gt;0),"Earnings-led expansion",IF(AND(J13&gt;0,D13&lt;0),"Potential dislocation",IF(AND(J13&gt;0,M13&lt;0),"Price ahead / rerating","Neutral")))))</x:f>
        <x:v>Down-cycle</x:v>
      </x:c>
      <x:c r="O13" s="40" t="n">
        <x:v>-0.058312211214133436</x:v>
      </x:c>
      <x:c r="P13" s="40" t="n">
        <x:v>0.39705882352941174</x:v>
      </x:c>
      <x:c r="Q13" s="40" t="n">
        <x:v>0.3076923076923077</x:v>
      </x:c>
      <x:c r="R13" s="40" t="n">
        <x:v>0.04225352112676056</x:v>
      </x:c>
      <x:c r="S13" s="40" t="n">
        <x:v>0.9577464788732395</x:v>
      </x:c>
      <x:c r="T13" s="40" t="n">
        <x:v>0.4852941176470588</x:v>
      </x:c>
      <x:c r="U13" s="40" t="n">
        <x:v>0.9857346150262551</x:v>
      </x:c>
      <x:c r="V13" s="40" t="n">
        <x:v>0.5045017844624307</x:v>
      </x:c>
      <x:c r="W13" s="64" t="str">
        <x:v>Stage 11 – Earnings Peak / Roll-over</x:v>
      </x:c>
      <x:c r="X13" s="64" t="str">
        <x:v>Rev3M -1.4%; Accel3M -5.8ppt; Stock3M -0.4%; EV/EBITDA 2.6x (4th pct); PeakRatio36M 99%; Multiple3M -1.2%; Earnings-Price Gap -1.0%; CycleHeat 50%. Forward EBITDA revisions have stalled/turned negative, acceleration is negative, stock performance is negative, and earnings are still near peak.</x:v>
      </x:c>
    </x:row>
    <x:row r="14">
      <x:c r="A14" s="32" t="n">
        <x:v>43404</x:v>
      </x:c>
      <x:c r="B14" s="33" t="n">
        <x:v>-0.168</x:v>
      </x:c>
      <x:c r="C14" s="40" t="n">
        <x:f>IFERROR((1+B14)/(1+B13)-1,"")</x:f>
        <x:v>-0.08721886999451456</x:v>
      </x:c>
      <x:c r="D14" s="40" t="n">
        <x:f>IFERROR((1+B14)/(1+B11)-1,"")</x:f>
        <x:v>-0.08329660643455272</x:v>
      </x:c>
      <x:c r="E14" s="40" t="n">
        <x:f>IFERROR((1+B14)/(1+B8)-1,"")</x:f>
        <x:v>-0.20000000000000007</x:v>
      </x:c>
      <x:c r="F14" s="36" t="n">
        <x:v>2.392912704713169</x:v>
      </x:c>
      <x:c r="G14" s="40" t="n">
        <x:f>IFERROR(F14/F11-1,"")</x:f>
        <x:v>-0.08585777081335644</x:v>
      </x:c>
      <x:c r="H14" s="38" t="n">
        <x:v>91926.2269500021</x:v>
      </x:c>
      <x:c r="I14" s="40" t="n">
        <x:f>IFERROR(H14/H13-1,"")</x:f>
        <x:v>0</x:v>
      </x:c>
      <x:c r="J14" s="40" t="n">
        <x:f>IFERROR(H14/H11-1,"")</x:f>
        <x:v>0</x:v>
      </x:c>
      <x:c r="K14" s="40" t="n">
        <x:f>IFERROR(H14/H8-1,"")</x:f>
        <x:v>0.029153096333452977</x:v>
      </x:c>
      <x:c r="L14" s="40" t="n">
        <x:f>IFERROR(J14-J13,"")</x:f>
        <x:v>0.014265384973744855</x:v>
      </x:c>
      <x:c r="M14" s="40" t="n">
        <x:f>IFERROR(J14-D14,"")</x:f>
        <x:v>0.08329660643455272</x:v>
      </x:c>
      <x:c r="N14" s="42" t="str">
        <x:f>IF(J14&lt;0,IF(D14&lt;0,"Down-cycle","Price up / earnings down"),IF(AND(J14&gt;0,L14&lt;0,M14&lt;-0.15),"Late-cycle warning",IF(AND(J14&gt;0,M14&gt;0),"Earnings-led expansion",IF(AND(J14&gt;0,D14&lt;0),"Potential dislocation",IF(AND(J14&gt;0,M14&lt;0),"Price ahead / rerating","Neutral")))))</x:f>
        <x:v>Neutral</x:v>
      </x:c>
      <x:c r="O14" s="40" t="n">
        <x:v>-0.029153096333452977</x:v>
      </x:c>
      <x:c r="P14" s="40" t="n">
        <x:v>0.4411764705882353</x:v>
      </x:c>
      <x:c r="Q14" s="40" t="n">
        <x:v>0.35384615384615387</x:v>
      </x:c>
      <x:c r="R14" s="40" t="n">
        <x:v>0</x:v>
      </x:c>
      <x:c r="S14" s="40" t="n">
        <x:v>1</x:v>
      </x:c>
      <x:c r="T14" s="40" t="n">
        <x:v>0.14705882352941177</x:v>
      </x:c>
      <x:c r="U14" s="40" t="n">
        <x:v>0.9857346150262551</x:v>
      </x:c>
      <x:c r="V14" s="40" t="n">
        <x:v>0.47228506787330315</x:v>
      </x:c>
      <x:c r="W14" s="64" t="str">
        <x:v>Stage 11 – Earnings Peak / Roll-over</x:v>
      </x:c>
      <x:c r="X14" s="64" t="str">
        <x:v>Rev3M +0.0%; Accel3M -2.9ppt; Stock3M -8.3%; EV/EBITDA 2.4x (0th pct); PeakRatio36M 99%; Multiple3M -8.6%; Earnings-Price Gap +8.3%; CycleHeat 47%. Forward EBITDA revisions have stalled/turned negative, acceleration is negative, stock performance is negative, and earnings are still near peak.</x:v>
      </x:c>
    </x:row>
    <x:row r="15">
      <x:c r="A15" s="32" t="n">
        <x:v>43434</x:v>
      </x:c>
      <x:c r="B15" s="33" t="n">
        <x:v>-0.1788</x:v>
      </x:c>
      <x:c r="C15" s="40" t="n">
        <x:f>IFERROR((1+B15)/(1+B14)-1,"")</x:f>
        <x:v>-0.012980769230769185</x:v>
      </x:c>
      <x:c r="D15" s="40" t="n">
        <x:f>IFERROR((1+B15)/(1+B12)-1,"")</x:f>
        <x:v>-0.13621542021668243</x:v>
      </x:c>
      <x:c r="E15" s="40" t="n">
        <x:f>IFERROR((1+B15)/(1+B9)-1,"")</x:f>
        <x:v>-0.17459041109659257</x:v>
      </x:c>
      <x:c r="F15" s="36" t="n">
        <x:v>2.5253326421755764</x:v>
      </x:c>
      <x:c r="G15" s="40" t="n">
        <x:f>IFERROR(F15/F12-1,"")</x:f>
        <x:v>-0.04102689595089448</x:v>
      </x:c>
      <x:c r="H15" s="38" t="n">
        <x:v>85553.8331902916</x:v>
      </x:c>
      <x:c r="I15" s="40" t="n">
        <x:f>IFERROR(H15/H14-1,"")</x:f>
        <x:v>-0.06932073654210136</x:v>
      </x:c>
      <x:c r="J15" s="40" t="n">
        <x:f>IFERROR(H15/H12-1,"")</x:f>
        <x:v>-0.08259723452240952</x:v>
      </x:c>
      <x:c r="K15" s="40" t="n">
        <x:f>IFERROR(H15/H9-1,"")</x:f>
        <x:v>-0.06932073654210136</x:v>
      </x:c>
      <x:c r="L15" s="40" t="n">
        <x:f>IFERROR(J15-J14,"")</x:f>
        <x:v>-0.08259723452240952</x:v>
      </x:c>
      <x:c r="M15" s="40" t="n">
        <x:f>IFERROR(J15-D15,"")</x:f>
        <x:v>0.0536181856942729</x:v>
      </x:c>
      <x:c r="N15" s="42" t="str">
        <x:f>IF(J15&lt;0,IF(D15&lt;0,"Down-cycle","Price up / earnings down"),IF(AND(J15&gt;0,L15&lt;0,M15&lt;-0.15),"Late-cycle warning",IF(AND(J15&gt;0,M15&gt;0),"Earnings-led expansion",IF(AND(J15&gt;0,D15&lt;0),"Potential dislocation",IF(AND(J15&gt;0,M15&lt;0),"Price ahead / rerating","Neutral")))))</x:f>
        <x:v>Down-cycle</x:v>
      </x:c>
      <x:c r="O15" s="40" t="n">
        <x:v>-0.09706906573974461</x:v>
      </x:c>
      <x:c r="P15" s="40" t="n">
        <x:v>0.25</x:v>
      </x:c>
      <x:c r="Q15" s="40" t="n">
        <x:v>0.2153846153846154</x:v>
      </x:c>
      <x:c r="R15" s="40" t="n">
        <x:v>0.028169014084507043</x:v>
      </x:c>
      <x:c r="S15" s="40" t="n">
        <x:v>0.971830985915493</x:v>
      </x:c>
      <x:c r="T15" s="40" t="n">
        <x:v>0.04411764705882353</x:v>
      </x:c>
      <x:c r="U15" s="40" t="n">
        <x:v>0.9174027654775905</x:v>
      </x:c>
      <x:c r="V15" s="40" t="n">
        <x:v>0.3445358804410172</x:v>
      </x:c>
      <x:c r="W15" s="64" t="str">
        <x:v>Stage 11 – Earnings Peak / Roll-over</x:v>
      </x:c>
      <x:c r="X15" s="64" t="str">
        <x:v>Rev3M -8.3%; Accel3M -9.7ppt; Stock3M -13.6%; EV/EBITDA 2.5x (3th pct); PeakRatio36M 92%; Multiple3M -4.1%; Earnings-Price Gap +5.4%; CycleHeat 34%. Forward EBITDA revisions have stalled/turned negative, acceleration is negative, stock performance is negative, and earnings are still near peak.</x:v>
      </x:c>
    </x:row>
    <x:row r="16">
      <x:c r="A16" s="32" t="n">
        <x:v>43465</x:v>
      </x:c>
      <x:c r="B16" s="33" t="n">
        <x:v>-0.2406</x:v>
      </x:c>
      <x:c r="C16" s="40" t="n">
        <x:f>IFERROR((1+B16)/(1+B15)-1,"")</x:f>
        <x:v>-0.07525572333170982</x:v>
      </x:c>
      <x:c r="D16" s="40" t="n">
        <x:f>IFERROR((1+B16)/(1+B13)-1,"")</x:f>
        <x:v>-0.16686780032912785</x:v>
      </x:c>
      <x:c r="E16" s="40" t="n">
        <x:f>IFERROR((1+B16)/(1+B10)-1,"")</x:f>
        <x:v>-0.17041730391085863</x:v>
      </x:c>
      <x:c r="F16" s="36" t="n">
        <x:v>2.4508864062229283</x:v>
      </x:c>
      <x:c r="G16" s="40" t="n">
        <x:f>IFERROR(F16/F13-1,"")</x:f>
        <x:v>-0.05809049122197496</x:v>
      </x:c>
      <x:c r="H16" s="38" t="n">
        <x:v>78487.32316598197</x:v>
      </x:c>
      <x:c r="I16" s="40" t="n">
        <x:f>IFERROR(H16/H15-1,"")</x:f>
        <x:v>-0.08259723452240963</x:v>
      </x:c>
      <x:c r="J16" s="40" t="n">
        <x:f>IFERROR(H16/H13-1,"")</x:f>
        <x:v>-0.1461922699310768</x:v>
      </x:c>
      <x:c r="K16" s="40" t="n">
        <x:f>IFERROR(H16/H10-1,"")</x:f>
        <x:v>-0.15837216589406922</x:v>
      </x:c>
      <x:c r="L16" s="40" t="n">
        <x:f>IFERROR(J16-J15,"")</x:f>
        <x:v>-0.06359503540866729</x:v>
      </x:c>
      <x:c r="M16" s="40" t="n">
        <x:f>IFERROR(J16-D16,"")</x:f>
        <x:v>0.020675530398051034</x:v>
      </x:c>
      <x:c r="N16" s="42" t="str">
        <x:f>IF(J16&lt;0,IF(D16&lt;0,"Down-cycle","Price up / earnings down"),IF(AND(J16&gt;0,L16&lt;0,M16&lt;-0.15),"Late-cycle warning",IF(AND(J16&gt;0,M16&gt;0),"Earnings-led expansion",IF(AND(J16&gt;0,D16&lt;0),"Potential dislocation",IF(AND(J16&gt;0,M16&lt;0),"Price ahead / rerating","Neutral")))))</x:f>
        <x:v>Down-cycle</x:v>
      </x:c>
      <x:c r="O16" s="40" t="n">
        <x:v>-0.13192688495733196</x:v>
      </x:c>
      <x:c r="P16" s="40" t="n">
        <x:v>0.15441176470588236</x:v>
      </x:c>
      <x:c r="Q16" s="40" t="n">
        <x:v>0.13846153846153847</x:v>
      </x:c>
      <x:c r="R16" s="40" t="n">
        <x:v>0.014084507042253521</x:v>
      </x:c>
      <x:c r="S16" s="40" t="n">
        <x:v>0.9859154929577465</x:v>
      </x:c>
      <x:c r="T16" s="40" t="n">
        <x:v>0.014705882352941176</x:v>
      </x:c>
      <x:c r="U16" s="40" t="n">
        <x:v>0.8416278341059308</x:v>
      </x:c>
      <x:c r="V16" s="40" t="n">
        <x:v>0.288783777324581</x:v>
      </x:c>
      <x:c r="W16" s="64" t="str">
        <x:v>Stage 12 – Downturn Confirmation</x:v>
      </x:c>
      <x:c r="X16" s="64" t="str">
        <x:v>Rev3M -14.6%; Accel3M -13.2ppt; Stock3M -16.7%; EV/EBITDA 2.5x (1th pct); PeakRatio36M 84%; Multiple3M -5.8%; Earnings-Price Gap +2.1%; CycleHeat 29%. Forward EBITDA, revision momentum, and stock performance are all negative while earnings are still relatively elevated—downcycle is being confirmed.</x:v>
      </x:c>
    </x:row>
    <x:row r="17">
      <x:c r="A17" s="32" t="n">
        <x:v>43496</x:v>
      </x:c>
      <x:c r="B17" s="33" t="n">
        <x:v>-0.0944</x:v>
      </x:c>
      <x:c r="C17" s="40" t="n">
        <x:f>IFERROR((1+B17)/(1+B16)-1,"")</x:f>
        <x:v>0.1925204108506715</x:v>
      </x:c>
      <x:c r="D17" s="40" t="n">
        <x:f>IFERROR((1+B17)/(1+B14)-1,"")</x:f>
        <x:v>0.08846153846153837</x:v>
      </x:c>
      <x:c r="E17" s="40" t="n">
        <x:f>IFERROR((1+B17)/(1+B11)-1,"")</x:f>
        <x:v>-0.002203613926839987</x:v>
      </x:c>
      <x:c r="F17" s="36" t="n">
        <x:v>3.2567136335617612</x:v>
      </x:c>
      <x:c r="G17" s="40" t="n">
        <x:f>IFERROR(F17/F14-1,"")</x:f>
        <x:v>0.36098305096847794</x:v>
      </x:c>
      <x:c r="H17" s="38" t="n">
        <x:v>69964.79686446511</x:v>
      </x:c>
      <x:c r="I17" s="40" t="n">
        <x:f>IFERROR(H17/H16-1,"")</x:f>
        <x:v>-0.10858474920203032</x:v>
      </x:c>
      <x:c r="J17" s="40" t="n">
        <x:f>IFERROR(H17/H14-1,"")</x:f>
        <x:v>-0.23890276816736566</x:v>
      </x:c>
      <x:c r="K17" s="40" t="n">
        <x:f>IFERROR(H17/H11-1,"")</x:f>
        <x:v>-0.23890276816736566</x:v>
      </x:c>
      <x:c r="L17" s="40" t="n">
        <x:f>IFERROR(J17-J16,"")</x:f>
        <x:v>-0.09271049823628885</x:v>
      </x:c>
      <x:c r="M17" s="40" t="n">
        <x:f>IFERROR(J17-D17,"")</x:f>
        <x:v>-0.32736430662890403</x:v>
      </x:c>
      <x:c r="N17" s="42" t="str">
        <x:f>IF(J17&lt;0,IF(D17&lt;0,"Down-cycle","Price up / earnings down"),IF(AND(J17&gt;0,L17&lt;0,M17&lt;-0.15),"Late-cycle warning",IF(AND(J17&gt;0,M17&gt;0),"Earnings-led expansion",IF(AND(J17&gt;0,D17&lt;0),"Potential dislocation",IF(AND(J17&gt;0,M17&lt;0),"Price ahead / rerating","Neutral")))))</x:f>
        <x:v>Price up / earnings down</x:v>
      </x:c>
      <x:c r="O17" s="40" t="n">
        <x:v>-0.23890276816736566</x:v>
      </x:c>
      <x:c r="P17" s="40" t="n">
        <x:v>0.04411764705882353</x:v>
      </x:c>
      <x:c r="Q17" s="40" t="n">
        <x:v>0.06153846153846154</x:v>
      </x:c>
      <x:c r="R17" s="40" t="n">
        <x:v>0.2112676056338028</x:v>
      </x:c>
      <x:c r="S17" s="40" t="n">
        <x:v>0.7887323943661972</x:v>
      </x:c>
      <x:c r="T17" s="40" t="n">
        <x:v>0.7647058823529411</x:v>
      </x:c>
      <x:c r="U17" s="40" t="n">
        <x:v>0.7502398868180903</x:v>
      </x:c>
      <x:c r="V17" s="40" t="n">
        <x:v>0.3415134471990313</x:v>
      </x:c>
      <x:c r="W17" s="64" t="str">
        <x:v>Stage 13 – Mixed / Transition</x:v>
      </x:c>
      <x:c r="X17" s="64" t="str">
        <x:v>Rev3M -23.9%; Accel3M -23.9ppt; Stock3M +8.8%; EV/EBITDA 3.3x (21th pct); PeakRatio36M 75%; Multiple3M +36.1%; Earnings-Price Gap -32.7%; CycleHeat 34%. Signals do not fit one dominant state; treat as a transition and require confirmation from the next 1–3 monthly observations.</x:v>
      </x:c>
    </x:row>
    <x:row r="18">
      <x:c r="A18" s="32" t="n">
        <x:v>43524</x:v>
      </x:c>
      <x:c r="B18" s="33" t="n">
        <x:v>-0.115</x:v>
      </x:c>
      <x:c r="C18" s="40" t="n">
        <x:f>IFERROR((1+B18)/(1+B17)-1,"")</x:f>
        <x:v>-0.022747349823321494</x:v>
      </x:c>
      <x:c r="D18" s="40" t="n">
        <x:f>IFERROR((1+B18)/(1+B15)-1,"")</x:f>
        <x:v>0.07769118363370664</x:v>
      </x:c>
      <x:c r="E18" s="40" t="n">
        <x:f>IFERROR((1+B18)/(1+B12)-1,"")</x:f>
        <x:v>-0.06910697380877251</x:v>
      </x:c>
      <x:c r="F18" s="36" t="n">
        <x:v>3.3058053405996026</x:v>
      </x:c>
      <x:c r="G18" s="40" t="n">
        <x:f>IFERROR(F18/F15-1,"")</x:f>
        <x:v>0.30905738332818133</x:v>
      </x:c>
      <x:c r="H18" s="38" t="n">
        <x:v>65114.78561380177</x:v>
      </x:c>
      <x:c r="I18" s="40" t="n">
        <x:f>IFERROR(H18/H17-1,"")</x:f>
        <x:v>-0.06932073654210302</x:v>
      </x:c>
      <x:c r="J18" s="40" t="n">
        <x:f>IFERROR(H18/H15-1,"")</x:f>
        <x:v>-0.2389027681673671</x:v>
      </x:c>
      <x:c r="K18" s="40" t="n">
        <x:f>IFERROR(H18/H12-1,"")</x:f>
        <x:v>-0.3017672947194038</x:v>
      </x:c>
      <x:c r="L18" s="40" t="n">
        <x:f>IFERROR(J18-J17,"")</x:f>
        <x:v>-1.4432899320127035e-15</x:v>
      </x:c>
      <x:c r="M18" s="40" t="n">
        <x:f>IFERROR(J18-D18,"")</x:f>
        <x:v>-0.31659395180107375</x:v>
      </x:c>
      <x:c r="N18" s="42" t="str">
        <x:f>IF(J18&lt;0,IF(D18&lt;0,"Down-cycle","Price up / earnings down"),IF(AND(J18&gt;0,L18&lt;0,M18&lt;-0.15),"Late-cycle warning",IF(AND(J18&gt;0,M18&gt;0),"Earnings-led expansion",IF(AND(J18&gt;0,D18&lt;0),"Potential dislocation",IF(AND(J18&gt;0,M18&lt;0),"Price ahead / rerating","Neutral")))))</x:f>
        <x:v>Price up / earnings down</x:v>
      </x:c>
      <x:c r="O18" s="40" t="n">
        <x:v>-0.15630553364495758</x:v>
      </x:c>
      <x:c r="P18" s="40" t="n">
        <x:v>0.022058823529411766</x:v>
      </x:c>
      <x:c r="Q18" s="40" t="n">
        <x:v>0.07692307692307693</x:v>
      </x:c>
      <x:c r="R18" s="40" t="n">
        <x:v>0.22535211267605634</x:v>
      </x:c>
      <x:c r="S18" s="40" t="n">
        <x:v>0.7746478873239436</x:v>
      </x:c>
      <x:c r="T18" s="40" t="n">
        <x:v>0.7352941176470589</x:v>
      </x:c>
      <x:c r="U18" s="40" t="n">
        <x:v>0.6982327052805962</x:v>
      </x:c>
      <x:c r="V18" s="40" t="n">
        <x:v>0.3289397584602639</x:v>
      </x:c>
      <x:c r="W18" s="64" t="str">
        <x:v>Stage 13 – Mixed / Transition</x:v>
      </x:c>
      <x:c r="X18" s="64" t="str">
        <x:v>Rev3M -23.9%; Accel3M -15.6ppt; Stock3M +7.8%; EV/EBITDA 3.3x (23th pct); PeakRatio36M 70%; Multiple3M +30.9%; Earnings-Price Gap -31.7%; CycleHeat 33%. Signals do not fit one dominant state; treat as a transition and require confirmation from the next 1–3 monthly observations.</x:v>
      </x:c>
    </x:row>
    <x:row r="19">
      <x:c r="A19" s="32" t="n">
        <x:v>43555</x:v>
      </x:c>
      <x:c r="B19" s="33" t="n">
        <x:v>-0.1238</x:v>
      </x:c>
      <x:c r="C19" s="40" t="n">
        <x:f>IFERROR((1+B19)/(1+B18)-1,"")</x:f>
        <x:v>-0.009943502824858785</x:v>
      </x:c>
      <x:c r="D19" s="40" t="n">
        <x:f>IFERROR((1+B19)/(1+B16)-1,"")</x:f>
        <x:v>0.15380563602844344</x:v>
      </x:c>
      <x:c r="E19" s="40" t="n">
        <x:f>IFERROR((1+B19)/(1+B13)-1,"")</x:f>
        <x:v>-0.038727372462973086</x:v>
      </x:c>
      <x:c r="F19" s="36" t="n">
        <x:v>3.6928383023853693</x:v>
      </x:c>
      <x:c r="G19" s="40" t="n">
        <x:f>IFERROR(F19/F16-1,"")</x:f>
        <x:v>0.5067358050577375</x:v>
      </x:c>
      <x:c r="H19" s="38" t="n">
        <x:v>60600.980715271995</x:v>
      </x:c>
      <x:c r="I19" s="40" t="n">
        <x:f>IFERROR(H19/H18-1,"")</x:f>
        <x:v>-0.06932073654210147</x:v>
      </x:c>
      <x:c r="J19" s="40" t="n">
        <x:f>IFERROR(H19/H16-1,"")</x:f>
        <x:v>-0.2278882974883043</x:v>
      </x:c>
      <x:c r="K19" s="40" t="n">
        <x:f>IFERROR(H19/H13-1,"")</x:f>
        <x:v>-0.34076505991883743</x:v>
      </x:c>
      <x:c r="L19" s="40" t="n">
        <x:f>IFERROR(J19-J18,"")</x:f>
        <x:v>0.011014470679062804</x:v>
      </x:c>
      <x:c r="M19" s="40" t="n">
        <x:f>IFERROR(J19-D19,"")</x:f>
        <x:v>-0.38169393351674774</x:v>
      </x:c>
      <x:c r="N19" s="42" t="str">
        <x:f>IF(J19&lt;0,IF(D19&lt;0,"Down-cycle","Price up / earnings down"),IF(AND(J19&gt;0,L19&lt;0,M19&lt;-0.15),"Late-cycle warning",IF(AND(J19&gt;0,M19&gt;0),"Earnings-led expansion",IF(AND(J19&gt;0,D19&lt;0),"Potential dislocation",IF(AND(J19&gt;0,M19&lt;0),"Price ahead / rerating","Neutral")))))</x:f>
        <x:v>Price up / earnings down</x:v>
      </x:c>
      <x:c r="O19" s="40" t="n">
        <x:v>-0.08169602755722749</x:v>
      </x:c>
      <x:c r="P19" s="40" t="n">
        <x:v>0.058823529411764705</x:v>
      </x:c>
      <x:c r="Q19" s="40" t="n">
        <x:v>0.26153846153846155</x:v>
      </x:c>
      <x:c r="R19" s="40" t="n">
        <x:v>0.323943661971831</x:v>
      </x:c>
      <x:c r="S19" s="40" t="n">
        <x:v>0.676056338028169</x:v>
      </x:c>
      <x:c r="T19" s="40" t="n">
        <x:v>0.8970588235294118</x:v>
      </x:c>
      <x:c r="U19" s="40" t="n">
        <x:v>0.6498306998727612</x:v>
      </x:c>
      <x:c r="V19" s="40" t="n">
        <x:v>0.40059588299024923</x:v>
      </x:c>
      <x:c r="W19" s="64" t="str">
        <x:v>Stage 13 – Mixed / Transition</x:v>
      </x:c>
      <x:c r="X19" s="64" t="str">
        <x:v>Rev3M -22.8%; Accel3M -8.2ppt; Stock3M +15.4%; EV/EBITDA 3.7x (32th pct); PeakRatio36M 65%; Multiple3M +50.7%; Earnings-Price Gap -38.2%; CycleHeat 40%. Signals do not fit one dominant state; treat as a transition and require confirmation from the next 1–3 monthly observations.</x:v>
      </x:c>
    </x:row>
    <x:row r="20">
      <x:c r="A20" s="32" t="n">
        <x:v>43585</x:v>
      </x:c>
      <x:c r="B20" s="33" t="n">
        <x:v>-0.1003</x:v>
      </x:c>
      <x:c r="C20" s="40" t="n">
        <x:f>IFERROR((1+B20)/(1+B19)-1,"")</x:f>
        <x:v>0.02682036064825377</x:v>
      </x:c>
      <x:c r="D20" s="40" t="n">
        <x:f>IFERROR((1+B20)/(1+B17)-1,"")</x:f>
        <x:v>-0.006515017667844569</x:v>
      </x:c>
      <x:c r="E20" s="40" t="n">
        <x:f>IFERROR((1+B20)/(1+B14)-1,"")</x:f>
        <x:v>0.08137019230769238</x:v>
      </x:c>
      <x:c r="F20" s="36" t="n">
        <x:v>3.4991983007104324</x:v>
      </x:c>
      <x:c r="G20" s="40" t="n">
        <x:f>IFERROR(F20/F17-1,"")</x:f>
        <x:v>0.07445685879463504</x:v>
      </x:c>
      <x:c r="H20" s="38" t="n">
        <x:v>59736.48439558227</x:v>
      </x:c>
      <x:c r="I20" s="40" t="n">
        <x:f>IFERROR(H20/H19-1,"")</x:f>
        <x:v>-0.014265384973742856</x:v>
      </x:c>
      <x:c r="J20" s="40" t="n">
        <x:f>IFERROR(H20/H17-1,"")</x:f>
        <x:v>-0.1461922699310768</x:v>
      </x:c>
      <x:c r="K20" s="40" t="n">
        <x:f>IFERROR(H20/H14-1,"")</x:f>
        <x:v>-0.35016930012723746</x:v>
      </x:c>
      <x:c r="L20" s="40" t="n">
        <x:f>IFERROR(J20-J19,"")</x:f>
        <x:v>0.08169602755722749</x:v>
      </x:c>
      <x:c r="M20" s="40" t="n">
        <x:f>IFERROR(J20-D20,"")</x:f>
        <x:v>-0.13967725226323224</x:v>
      </x:c>
      <x:c r="N20" s="42" t="str">
        <x:f>IF(J20&lt;0,IF(D20&lt;0,"Down-cycle","Price up / earnings down"),IF(AND(J20&gt;0,L20&lt;0,M20&lt;-0.15),"Late-cycle warning",IF(AND(J20&gt;0,M20&gt;0),"Earnings-led expansion",IF(AND(J20&gt;0,D20&lt;0),"Potential dislocation",IF(AND(J20&gt;0,M20&lt;0),"Price ahead / rerating","Neutral")))))</x:f>
        <x:v>Down-cycle</x:v>
      </x:c>
      <x:c r="O20" s="40" t="n">
        <x:v>0.09271049823628885</x:v>
      </x:c>
      <x:c r="P20" s="40" t="n">
        <x:v>0.15441176470588236</x:v>
      </x:c>
      <x:c r="Q20" s="40" t="n">
        <x:v>0.7538461538461538</x:v>
      </x:c>
      <x:c r="R20" s="40" t="n">
        <x:v>0.28169014084507044</x:v>
      </x:c>
      <x:c r="S20" s="40" t="n">
        <x:v>0.7183098591549295</x:v>
      </x:c>
      <x:c r="T20" s="40" t="n">
        <x:v>0.45588235294117646</x:v>
      </x:c>
      <x:c r="U20" s="40" t="n">
        <x:v>0.6405606147713195</x:v>
      </x:c>
      <x:c r="V20" s="40" t="n">
        <x:v>0.4773440985278185</x:v>
      </x:c>
      <x:c r="W20" s="64" t="str">
        <x:v>Stage 3 – Trough Formation</x:v>
      </x:c>
      <x:c r="X20" s="64" t="str">
        <x:v>Rev3M -14.6%; Accel3M +9.3ppt; Stock3M -0.7%; EV/EBITDA 3.5x (28th pct); PeakRatio36M 64%; Multiple3M +7.4%; Earnings-Price Gap -14.0%; CycleHeat 48%. EBITDA is still being revised down, but the pace of cuts is improving; the stock has not yet clearly turned positive.</x:v>
      </x:c>
    </x:row>
    <x:row r="21">
      <x:c r="A21" s="32" t="n">
        <x:v>43616</x:v>
      </x:c>
      <x:c r="B21" s="33" t="n">
        <x:v>-0.166</x:v>
      </x:c>
      <x:c r="C21" s="40" t="n">
        <x:f>IFERROR((1+B21)/(1+B20)-1,"")</x:f>
        <x:v>-0.07302434144714909</x:v>
      </x:c>
      <x:c r="D21" s="40" t="n">
        <x:f>IFERROR((1+B21)/(1+B18)-1,"")</x:f>
        <x:v>-0.05762711864406789</x:v>
      </x:c>
      <x:c r="E21" s="40" t="n">
        <x:f>IFERROR((1+B21)/(1+B15)-1,"")</x:f>
        <x:v>0.015586945932781093</x:v>
      </x:c>
      <x:c r="F21" s="36" t="n">
        <x:v>3.5096846457026953</x:v>
      </x:c>
      <x:c r="G21" s="40" t="n">
        <x:f>IFERROR(F21/F18-1,"")</x:f>
        <x:v>0.061673112629829996</x:v>
      </x:c>
      <x:c r="H21" s="38" t="n">
        <x:v>60600.980715271995</x:v>
      </x:c>
      <x:c r="I21" s="40" t="n">
        <x:f>IFERROR(H21/H20-1,"")</x:f>
        <x:v>0.014471831217333087</x:v>
      </x:c>
      <x:c r="J21" s="40" t="n">
        <x:f>IFERROR(H21/H18-1,"")</x:f>
        <x:v>-0.06932073654210147</x:v>
      </x:c>
      <x:c r="K21" s="40" t="n">
        <x:f>IFERROR(H21/H15-1,"")</x:f>
        <x:v>-0.29166258885815977</x:v>
      </x:c>
      <x:c r="L21" s="40" t="n">
        <x:f>IFERROR(J21-J20,"")</x:f>
        <x:v>0.07687153338897534</x:v>
      </x:c>
      <x:c r="M21" s="40" t="n">
        <x:f>IFERROR(J21-D21,"")</x:f>
        <x:v>-0.011693617898033581</x:v>
      </x:c>
      <x:c r="N21" s="42" t="str">
        <x:f>IF(J21&lt;0,IF(D21&lt;0,"Down-cycle","Price up / earnings down"),IF(AND(J21&gt;0,L21&lt;0,M21&lt;-0.15),"Late-cycle warning",IF(AND(J21&gt;0,M21&gt;0),"Earnings-led expansion",IF(AND(J21&gt;0,D21&lt;0),"Potential dislocation",IF(AND(J21&gt;0,M21&lt;0),"Price ahead / rerating","Neutral")))))</x:f>
        <x:v>Down-cycle</x:v>
      </x:c>
      <x:c r="O21" s="40" t="n">
        <x:v>0.16958203162526564</x:v>
      </x:c>
      <x:c r="P21" s="40" t="n">
        <x:v>0.2647058823529412</x:v>
      </x:c>
      <x:c r="Q21" s="40" t="n">
        <x:v>0.9384615384615385</x:v>
      </x:c>
      <x:c r="R21" s="40" t="n">
        <x:v>0.29577464788732394</x:v>
      </x:c>
      <x:c r="S21" s="40" t="n">
        <x:v>0.704225352112676</x:v>
      </x:c>
      <x:c r="T21" s="40" t="n">
        <x:v>0.2647058823529412</x:v>
      </x:c>
      <x:c r="U21" s="40" t="n">
        <x:v>0.6498306998727612</x:v>
      </x:c>
      <x:c r="V21" s="40" t="n">
        <x:v>0.5210486903320375</x:v>
      </x:c>
      <x:c r="W21" s="64" t="str">
        <x:v>Stage 3 – Trough Formation</x:v>
      </x:c>
      <x:c r="X21" s="64" t="str">
        <x:v>Rev3M -6.9%; Accel3M +17.0ppt; Stock3M -5.8%; EV/EBITDA 3.5x (30th pct); PeakRatio36M 65%; Multiple3M +6.2%; Earnings-Price Gap -1.2%; CycleHeat 52%. EBITDA is still being revised down, but the pace of cuts is improving; the stock has not yet clearly turned positive.</x:v>
      </x:c>
    </x:row>
    <x:row r="22">
      <x:c r="A22" s="32" t="n">
        <x:v>43646</x:v>
      </x:c>
      <x:c r="B22" s="33" t="n">
        <x:v>-0.0777</x:v>
      </x:c>
      <x:c r="C22" s="40" t="n">
        <x:f>IFERROR((1+B22)/(1+B21)-1,"")</x:f>
        <x:v>0.10587529976019194</x:v>
      </x:c>
      <x:c r="D22" s="40" t="n">
        <x:f>IFERROR((1+B22)/(1+B19)-1,"")</x:f>
        <x:v>0.05261355854827676</x:v>
      </x:c>
      <x:c r="E22" s="40" t="n">
        <x:f>IFERROR((1+B22)/(1+B16)-1,"")</x:f>
        <x:v>0.21451145641295777</x:v>
      </x:c>
      <x:c r="F22" s="36" t="n">
        <x:v>4.1748557106776145</x:v>
      </x:c>
      <x:c r="G22" s="40" t="n">
        <x:f>IFERROR(F22/F19-1,"")</x:f>
        <x:v>0.130527623692835</x:v>
      </x:c>
      <x:c r="H22" s="38" t="n">
        <x:v>55197.53724448159</x:v>
      </x:c>
      <x:c r="I22" s="40" t="n">
        <x:f>IFERROR(H22/H21-1,"")</x:f>
        <x:v>-0.08916429085822852</x:v>
      </x:c>
      <x:c r="J22" s="40" t="n">
        <x:f>IFERROR(H22/H19-1,"")</x:f>
        <x:v>-0.08916429085822852</x:v>
      </x:c>
      <x:c r="K22" s="40" t="n">
        <x:f>IFERROR(H22/H16-1,"")</x:f>
        <x:v>-0.29673308990609915</x:v>
      </x:c>
      <x:c r="L22" s="40" t="n">
        <x:f>IFERROR(J22-J21,"")</x:f>
        <x:v>-0.019843554316127054</x:v>
      </x:c>
      <x:c r="M22" s="40" t="n">
        <x:f>IFERROR(J22-D22,"")</x:f>
        <x:v>-0.14177784940650529</x:v>
      </x:c>
      <x:c r="N22" s="42" t="str">
        <x:f>IF(J22&lt;0,IF(D22&lt;0,"Down-cycle","Price up / earnings down"),IF(AND(J22&gt;0,L22&lt;0,M22&lt;-0.15),"Late-cycle warning",IF(AND(J22&gt;0,M22&gt;0),"Earnings-led expansion",IF(AND(J22&gt;0,D22&lt;0),"Potential dislocation",IF(AND(J22&gt;0,M22&lt;0),"Price ahead / rerating","Neutral")))))</x:f>
        <x:v>Price up / earnings down</x:v>
      </x:c>
      <x:c r="O22" s="40" t="n">
        <x:v>0.13872400663007578</x:v>
      </x:c>
      <x:c r="P22" s="40" t="n">
        <x:v>0.23529411764705882</x:v>
      </x:c>
      <x:c r="Q22" s="40" t="n">
        <x:v>0.8615384615384616</x:v>
      </x:c>
      <x:c r="R22" s="40" t="n">
        <x:v>0.45774647887323944</x:v>
      </x:c>
      <x:c r="S22" s="40" t="n">
        <x:v>0.5422535211267605</x:v>
      </x:c>
      <x:c r="T22" s="40" t="n">
        <x:v>0.6176470588235294</x:v>
      </x:c>
      <x:c r="U22" s="40" t="n">
        <x:v>0.5918890063407002</x:v>
      </x:c>
      <x:c r="V22" s="40" t="n">
        <x:v>0.529717672551144</x:v>
      </x:c>
      <x:c r="W22" s="64" t="str">
        <x:v>Stage 4 – Price-Led Bottom</x:v>
      </x:c>
      <x:c r="X22" s="64" t="str">
        <x:v>Rev3M -8.9%; Accel3M +13.9ppt; Stock3M +5.3%; EV/EBITDA 4.2x (46th pct); PeakRatio36M 59%; Multiple3M +13.1%; Earnings-Price Gap -14.2%; CycleHeat 53%. EBITDA is still being revised down but improving, while the stock has already turned up—typical price leadership near a bottom.</x:v>
      </x:c>
    </x:row>
    <x:row r="23">
      <x:c r="A23" s="32" t="n">
        <x:v>43677</x:v>
      </x:c>
      <x:c r="B23" s="33" t="n">
        <x:v>-0.1101</x:v>
      </x:c>
      <x:c r="C23" s="40" t="n">
        <x:f>IFERROR((1+B23)/(1+B22)-1,"")</x:f>
        <x:v>-0.03512956738588313</x:v>
      </x:c>
      <x:c r="D23" s="40" t="n">
        <x:f>IFERROR((1+B23)/(1+B20)-1,"")</x:f>
        <x:v>-0.010892519728798455</x:v>
      </x:c>
      <x:c r="E23" s="40" t="n">
        <x:f>IFERROR((1+B23)/(1+B17)-1,"")</x:f>
        <x:v>-0.017336572438162445</x:v>
      </x:c>
      <x:c r="F23" s="36" t="n">
        <x:v>3.9205871349321324</x:v>
      </x:c>
      <x:c r="G23" s="40" t="n">
        <x:f>IFERROR(F23/F20-1,"")</x:f>
        <x:v>0.12042439382076364</x:v>
      </x:c>
      <x:c r="H23" s="38" t="n">
        <x:v>55996.34668709629</x:v>
      </x:c>
      <x:c r="I23" s="40" t="n">
        <x:f>IFERROR(H23/H22-1,"")</x:f>
        <x:v>0.014471831217335085</x:v>
      </x:c>
      <x:c r="J23" s="40" t="n">
        <x:f>IFERROR(H23/H20-1,"")</x:f>
        <x:v>-0.06261060968567111</x:v>
      </x:c>
      <x:c r="K23" s="40" t="n">
        <x:f>IFERROR(H23/H17-1,"")</x:f>
        <x:v>-0.19964969246503095</x:v>
      </x:c>
      <x:c r="L23" s="40" t="n">
        <x:f>IFERROR(J23-J22,"")</x:f>
        <x:v>0.02655368117255741</x:v>
      </x:c>
      <x:c r="M23" s="40" t="n">
        <x:f>IFERROR(J23-D23,"")</x:f>
        <x:v>-0.05171808995687266</x:v>
      </x:c>
      <x:c r="N23" s="42" t="str">
        <x:f>IF(J23&lt;0,IF(D23&lt;0,"Down-cycle","Price up / earnings down"),IF(AND(J23&gt;0,L23&lt;0,M23&lt;-0.15),"Late-cycle warning",IF(AND(J23&gt;0,M23&gt;0),"Earnings-led expansion",IF(AND(J23&gt;0,D23&lt;0),"Potential dislocation",IF(AND(J23&gt;0,M23&lt;0),"Price ahead / rerating","Neutral")))))</x:f>
        <x:v>Down-cycle</x:v>
      </x:c>
      <x:c r="O23" s="40" t="n">
        <x:v>0.0835816602454057</x:v>
      </x:c>
      <x:c r="P23" s="40" t="n">
        <x:v>0.29411764705882354</x:v>
      </x:c>
      <x:c r="Q23" s="40" t="n">
        <x:v>0.676923076923077</x:v>
      </x:c>
      <x:c r="R23" s="40" t="n">
        <x:v>0.352112676056338</x:v>
      </x:c>
      <x:c r="S23" s="40" t="n">
        <x:v>0.647887323943662</x:v>
      </x:c>
      <x:c r="T23" s="40" t="n">
        <x:v>0.4264705882352941</x:v>
      </x:c>
      <x:c r="U23" s="40" t="n">
        <x:v>0.6004547241398589</x:v>
      </x:c>
      <x:c r="V23" s="40" t="n">
        <x:v>0.4870435281371488</x:v>
      </x:c>
      <x:c r="W23" s="64" t="str">
        <x:v>Stage 3 – Trough Formation</x:v>
      </x:c>
      <x:c r="X23" s="64" t="str">
        <x:v>Rev3M -6.3%; Accel3M +8.4ppt; Stock3M -1.1%; EV/EBITDA 3.9x (35th pct); PeakRatio36M 60%; Multiple3M +12.0%; Earnings-Price Gap -5.2%; CycleHeat 49%. EBITDA is still being revised down, but the pace of cuts is improving; the stock has not yet clearly turned positive.</x:v>
      </x:c>
    </x:row>
    <x:row r="24">
      <x:c r="A24" s="32" t="n">
        <x:v>43708</x:v>
      </x:c>
      <x:c r="B24" s="33" t="n">
        <x:v>-0.1366</x:v>
      </x:c>
      <x:c r="C24" s="40" t="n">
        <x:f>IFERROR((1+B24)/(1+B23)-1,"")</x:f>
        <x:v>-0.029778626812001385</x:v>
      </x:c>
      <x:c r="D24" s="40" t="n">
        <x:f>IFERROR((1+B24)/(1+B21)-1,"")</x:f>
        <x:v>0.035251798561151126</x:v>
      </x:c>
      <x:c r="E24" s="40" t="n">
        <x:f>IFERROR((1+B24)/(1+B18)-1,"")</x:f>
        <x:v>-0.02440677966101701</x:v>
      </x:c>
      <x:c r="F24" s="36" t="n">
        <x:v>3.979686072296767</x:v>
      </x:c>
      <x:c r="G24" s="40" t="n">
        <x:f>IFERROR(F24/F21-1,"")</x:f>
        <x:v>0.133915571921696</x:v>
      </x:c>
      <x:c r="H24" s="38" t="n">
        <x:v>56400.07609691566</x:v>
      </x:c>
      <x:c r="I24" s="40" t="n">
        <x:f>IFERROR(H24/H23-1,"")</x:f>
        <x:v>0.007209924105859633</x:v>
      </x:c>
      <x:c r="J24" s="40" t="n">
        <x:f>IFERROR(H24/H21-1,"")</x:f>
        <x:v>-0.06932073654210136</x:v>
      </x:c>
      <x:c r="K24" s="40" t="n">
        <x:f>IFERROR(H24/H18-1,"")</x:f>
        <x:v>-0.13383610856946337</x:v>
      </x:c>
      <x:c r="L24" s="40" t="n">
        <x:f>IFERROR(J24-J23,"")</x:f>
        <x:v>-0.006710126856430243</x:v>
      </x:c>
      <x:c r="M24" s="40" t="n">
        <x:f>IFERROR(J24-D24,"")</x:f>
        <x:v>-0.10457253510325248</x:v>
      </x:c>
      <x:c r="N24" s="42" t="str">
        <x:f>IF(J24&lt;0,IF(D24&lt;0,"Down-cycle","Price up / earnings down"),IF(AND(J24&gt;0,L24&lt;0,M24&lt;-0.15),"Late-cycle warning",IF(AND(J24&gt;0,M24&gt;0),"Earnings-led expansion",IF(AND(J24&gt;0,D24&lt;0),"Potential dislocation",IF(AND(J24&gt;0,M24&lt;0),"Price ahead / rerating","Neutral")))))</x:f>
        <x:v>Price up / earnings down</x:v>
      </x:c>
      <x:c r="O24" s="40" t="n">
        <x:v>1.1102230246251565e-16</x:v>
      </x:c>
      <x:c r="P24" s="40" t="n">
        <x:v>0.27941176470588236</x:v>
      </x:c>
      <x:c r="Q24" s="40" t="n">
        <x:v>0.4461538461538462</x:v>
      </x:c>
      <x:c r="R24" s="40" t="n">
        <x:v>0.39436619718309857</x:v>
      </x:c>
      <x:c r="S24" s="40" t="n">
        <x:v>0.6056338028169015</x:v>
      </x:c>
      <x:c r="T24" s="40" t="n">
        <x:v>0.5441176470588235</x:v>
      </x:c>
      <x:c r="U24" s="40" t="n">
        <x:v>0.6047839571299123</x:v>
      </x:c>
      <x:c r="V24" s="40" t="n">
        <x:v>0.4392828691606654</x:v>
      </x:c>
      <x:c r="W24" s="64" t="str">
        <x:v>Stage 4 – Price-Led Bottom</x:v>
      </x:c>
      <x:c r="X24" s="64" t="str">
        <x:v>Rev3M -6.9%; Accel3M +0.0ppt; Stock3M +3.5%; EV/EBITDA 4.0x (39th pct); PeakRatio36M 60%; Multiple3M +13.4%; Earnings-Price Gap -10.5%; CycleHeat 44%. EBITDA is still being revised down but improving, while the stock has already turned up—typical price leadership near a bottom.</x:v>
      </x:c>
    </x:row>
    <x:row r="25">
      <x:c r="A25" s="32" t="n">
        <x:v>43738</x:v>
      </x:c>
      <x:c r="B25" s="33" t="n">
        <x:v>-0.0375</x:v>
      </x:c>
      <x:c r="C25" s="40" t="n">
        <x:f>IFERROR((1+B25)/(1+B24)-1,"")</x:f>
        <x:v>0.11477878156126953</x:v>
      </x:c>
      <x:c r="D25" s="40" t="n">
        <x:f>IFERROR((1+B25)/(1+B22)-1,"")</x:f>
        <x:v>0.04358668546026245</x:v>
      </x:c>
      <x:c r="E25" s="40" t="n">
        <x:f>IFERROR((1+B25)/(1+B19)-1,"")</x:f>
        <x:v>0.09849349463592794</x:v>
      </x:c>
      <x:c r="F25" s="36" t="n">
        <x:v>4.4589373551500415</x:v>
      </x:c>
      <x:c r="G25" s="40" t="n">
        <x:f>IFERROR(F25/F22-1,"")</x:f>
        <x:v>0.06804585934451812</x:v>
      </x:c>
      <x:c r="H25" s="38" t="n">
        <x:v>57216.28847883507</x:v>
      </x:c>
      <x:c r="I25" s="40" t="n">
        <x:f>IFERROR(H25/H24-1,"")</x:f>
        <x:v>0.014471831217334863</x:v>
      </x:c>
      <x:c r="J25" s="40" t="n">
        <x:f>IFERROR(H25/H22-1,"")</x:f>
        <x:v>0.0365732120513278</x:v>
      </x:c>
      <x:c r="K25" s="40" t="n">
        <x:f>IFERROR(H25/H19-1,"")</x:f>
        <x:v>-0.05585210332386503</x:v>
      </x:c>
      <x:c r="L25" s="40" t="n">
        <x:f>IFERROR(J25-J24,"")</x:f>
        <x:v>0.10589394859342915</x:v>
      </x:c>
      <x:c r="M25" s="40" t="n">
        <x:f>IFERROR(J25-D25,"")</x:f>
        <x:v>-0.007013473408934656</x:v>
      </x:c>
      <x:c r="N25" s="42" t="str">
        <x:f>IF(J25&lt;0,IF(D25&lt;0,"Down-cycle","Price up / earnings down"),IF(AND(J25&gt;0,L25&lt;0,M25&lt;-0.15),"Late-cycle warning",IF(AND(J25&gt;0,M25&gt;0),"Earnings-led expansion",IF(AND(J25&gt;0,D25&lt;0),"Potential dislocation",IF(AND(J25&gt;0,M25&lt;0),"Price ahead / rerating","Neutral")))))</x:f>
        <x:v>Price ahead / rerating</x:v>
      </x:c>
      <x:c r="O25" s="40" t="n">
        <x:v>0.12573750290955632</x:v>
      </x:c>
      <x:c r="P25" s="40" t="n">
        <x:v>0.6102941176470589</x:v>
      </x:c>
      <x:c r="Q25" s="40" t="n">
        <x:v>0.8153846153846154</x:v>
      </x:c>
      <x:c r="R25" s="40" t="n">
        <x:v>0.5845070422535211</x:v>
      </x:c>
      <x:c r="S25" s="40" t="n">
        <x:v>0.4154929577464789</x:v>
      </x:c>
      <x:c r="T25" s="40" t="n">
        <x:v>0.5882352941176471</x:v>
      </x:c>
      <x:c r="U25" s="40" t="n">
        <x:v>0.6135362884804483</x:v>
      </x:c>
      <x:c r="V25" s="40" t="n">
        <x:v>0.6181947453954497</x:v>
      </x:c>
      <x:c r="W25" s="64" t="str">
        <x:v>Stage 5 – Early Recovery</x:v>
      </x:c>
      <x:c r="X25" s="64" t="str">
        <x:v>Rev3M +3.7%; Accel3M +12.6ppt; Stock3M +4.4%; EV/EBITDA 4.5x (58th pct); PeakRatio36M 61%; Multiple3M +6.8%; Earnings-Price Gap -0.7%; CycleHeat 62%. Forward EBITDA revisions have turned positive and are accelerating, but EBITDA remains well below its recent peak.</x:v>
      </x:c>
    </x:row>
    <x:row r="26">
      <x:c r="A26" s="32" t="n">
        <x:v>43769</x:v>
      </x:c>
      <x:c r="B26" s="33" t="n">
        <x:v>-0.011</x:v>
      </x:c>
      <x:c r="C26" s="40" t="n">
        <x:f>IFERROR((1+B26)/(1+B25)-1,"")</x:f>
        <x:v>0.02753246753246752</x:v>
      </x:c>
      <x:c r="D26" s="40" t="n">
        <x:f>IFERROR((1+B26)/(1+B23)-1,"")</x:f>
        <x:v>0.11136082705922012</x:v>
      </x:c>
      <x:c r="E26" s="40" t="n">
        <x:f>IFERROR((1+B26)/(1+B20)-1,"")</x:f>
        <x:v>0.09925530732466381</x:v>
      </x:c>
      <x:c r="F26" s="36" t="n">
        <x:v>4.512628008737197</x:v>
      </x:c>
      <x:c r="G26" s="40" t="n">
        <x:f>IFERROR(F26/F23-1,"")</x:f>
        <x:v>0.15100821724634694</x:v>
      </x:c>
      <x:c r="H26" s="38" t="n">
        <x:v>57216.28847883507</x:v>
      </x:c>
      <x:c r="I26" s="40" t="n">
        <x:f>IFERROR(H26/H25-1,"")</x:f>
        <x:v>0</x:v>
      </x:c>
      <x:c r="J26" s="40" t="n">
        <x:f>IFERROR(H26/H23-1,"")</x:f>
        <x:v>0.021786096127944354</x:v>
      </x:c>
      <x:c r="K26" s="40" t="n">
        <x:f>IFERROR(H26/H20-1,"")</x:f>
        <x:v>-0.04218855431896795</x:v>
      </x:c>
      <x:c r="L26" s="40" t="n">
        <x:f>IFERROR(J26-J25,"")</x:f>
        <x:v>-0.014787115923383443</x:v>
      </x:c>
      <x:c r="M26" s="40" t="n">
        <x:f>IFERROR(J26-D26,"")</x:f>
        <x:v>-0.08957473093127577</x:v>
      </x:c>
      <x:c r="N26" s="42" t="str">
        <x:f>IF(J26&lt;0,IF(D26&lt;0,"Down-cycle","Price up / earnings down"),IF(AND(J26&gt;0,L26&lt;0,M26&lt;-0.15),"Late-cycle warning",IF(AND(J26&gt;0,M26&gt;0),"Earnings-led expansion",IF(AND(J26&gt;0,D26&lt;0),"Potential dislocation",IF(AND(J26&gt;0,M26&lt;0),"Price ahead / rerating","Neutral")))))</x:f>
        <x:v>Price ahead / rerating</x:v>
      </x:c>
      <x:c r="O26" s="40" t="n">
        <x:v>0.08439670581361547</x:v>
      </x:c>
      <x:c r="P26" s="40" t="n">
        <x:v>0.5294117647058824</x:v>
      </x:c>
      <x:c r="Q26" s="40" t="n">
        <x:v>0.6923076923076923</x:v>
      </x:c>
      <x:c r="R26" s="40" t="n">
        <x:v>0.6408450704225352</x:v>
      </x:c>
      <x:c r="S26" s="40" t="n">
        <x:v>0.35915492957746475</x:v>
      </x:c>
      <x:c r="T26" s="40" t="n">
        <x:v>0.8088235294117647</x:v>
      </x:c>
      <x:c r="U26" s="40" t="n">
        <x:v>0.6135362884804483</x:v>
      </x:c>
      <x:c r="V26" s="40" t="n">
        <x:v>0.5919667325218277</x:v>
      </x:c>
      <x:c r="W26" s="64" t="str">
        <x:v>Stage 5 – Early Recovery</x:v>
      </x:c>
      <x:c r="X26" s="64" t="str">
        <x:v>Rev3M +2.2%; Accel3M +8.4ppt; Stock3M +11.1%; EV/EBITDA 4.5x (64th pct); PeakRatio36M 61%; Multiple3M +15.1%; Earnings-Price Gap -9.0%; CycleHeat 59%. Forward EBITDA revisions have turned positive and are accelerating, but EBITDA remains well below its recent peak.</x:v>
      </x:c>
    </x:row>
    <x:row r="27">
      <x:c r="A27" s="32" t="n">
        <x:v>43799</x:v>
      </x:c>
      <x:c r="B27" s="33" t="n">
        <x:v>-0.013</x:v>
      </x:c>
      <x:c r="C27" s="40" t="n">
        <x:f>IFERROR((1+B27)/(1+B26)-1,"")</x:f>
        <x:v>-0.002022244691607722</x:v>
      </x:c>
      <x:c r="D27" s="40" t="n">
        <x:f>IFERROR((1+B27)/(1+B24)-1,"")</x:f>
        <x:v>0.1431549687282836</x:v>
      </x:c>
      <x:c r="E27" s="40" t="n">
        <x:f>IFERROR((1+B27)/(1+B21)-1,"")</x:f>
        <x:v>0.1834532374100719</x:v>
      </x:c>
      <x:c r="F27" s="36" t="n">
        <x:v>4.4589373551500415</x:v>
      </x:c>
      <x:c r="G27" s="40" t="n">
        <x:f>IFERROR(F27/F24-1,"")</x:f>
        <x:v>0.12042439382076386</x:v>
      </x:c>
      <x:c r="H27" s="38" t="n">
        <x:v>57628.81357638654</x:v>
      </x:c>
      <x:c r="I27" s="40" t="n">
        <x:f>IFERROR(H27/H26-1,"")</x:f>
        <x:v>0.007209924105861409</x:v>
      </x:c>
      <x:c r="J27" s="40" t="n">
        <x:f>IFERROR(H27/H24-1,"")</x:f>
        <x:v>0.02178609612794613</x:v>
      </x:c>
      <x:c r="K27" s="40" t="n">
        <x:f>IFERROR(H27/H21-1,"")</x:f>
        <x:v>-0.0490448686441215</x:v>
      </x:c>
      <x:c r="L27" s="40" t="n">
        <x:f>IFERROR(J27-J26,"")</x:f>
        <x:v>1.7763568394002505e-15</x:v>
      </x:c>
      <x:c r="M27" s="40" t="n">
        <x:f>IFERROR(J27-D27,"")</x:f>
        <x:v>-0.12136887260033746</x:v>
      </x:c>
      <x:c r="N27" s="42" t="str">
        <x:f>IF(J27&lt;0,IF(D27&lt;0,"Down-cycle","Price up / earnings down"),IF(AND(J27&gt;0,L27&lt;0,M27&lt;-0.15),"Late-cycle warning",IF(AND(J27&gt;0,M27&gt;0),"Earnings-led expansion",IF(AND(J27&gt;0,D27&lt;0),"Potential dislocation",IF(AND(J27&gt;0,M27&lt;0),"Price ahead / rerating","Neutral")))))</x:f>
        <x:v>Price ahead / rerating</x:v>
      </x:c>
      <x:c r="O27" s="40" t="n">
        <x:v>0.09110683267004749</x:v>
      </x:c>
      <x:c r="P27" s="40" t="n">
        <x:v>0.5441176470588235</x:v>
      </x:c>
      <x:c r="Q27" s="40" t="n">
        <x:v>0.7384615384615385</x:v>
      </x:c>
      <x:c r="R27" s="40" t="n">
        <x:v>0.5845070422535211</x:v>
      </x:c>
      <x:c r="S27" s="40" t="n">
        <x:v>0.4154929577464789</x:v>
      </x:c>
      <x:c r="T27" s="40" t="n">
        <x:v>0.8676470588235294</x:v>
      </x:c>
      <x:c r="U27" s="40" t="n">
        <x:v>0.6179598385565842</x:v>
      </x:c>
      <x:c r="V27" s="40" t="n">
        <x:v>0.6316845643999746</x:v>
      </x:c>
      <x:c r="W27" s="64" t="str">
        <x:v>Stage 5 – Early Recovery</x:v>
      </x:c>
      <x:c r="X27" s="64" t="str">
        <x:v>Rev3M +2.2%; Accel3M +9.1ppt; Stock3M +14.3%; EV/EBITDA 4.5x (58th pct); PeakRatio36M 62%; Multiple3M +12.0%; Earnings-Price Gap -12.1%; CycleHeat 63%. Forward EBITDA revisions have turned positive and are accelerating, but EBITDA remains well below its recent peak.</x:v>
      </x:c>
    </x:row>
    <x:row r="28">
      <x:c r="A28" s="32" t="n">
        <x:v>43830</x:v>
      </x:c>
      <x:c r="B28" s="33" t="n">
        <x:v>0.095</x:v>
      </x:c>
      <x:c r="C28" s="40" t="n">
        <x:f>IFERROR((1+B28)/(1+B27)-1,"")</x:f>
        <x:v>0.10942249240121571</x:v>
      </x:c>
      <x:c r="D28" s="40" t="n">
        <x:f>IFERROR((1+B28)/(1+B25)-1,"")</x:f>
        <x:v>0.1376623376623376</x:v>
      </x:c>
      <x:c r="E28" s="40" t="n">
        <x:f>IFERROR((1+B28)/(1+B22)-1,"")</x:f>
        <x:v>0.18724926813401277</x:v>
      </x:c>
      <x:c r="F28" s="36" t="n">
        <x:v>5.025890339513694</x:v>
      </x:c>
      <x:c r="G28" s="40" t="n">
        <x:f>IFERROR(F28/F25-1,"")</x:f>
        <x:v>0.12714979808111138</x:v>
      </x:c>
      <x:c r="H28" s="38" t="n">
        <x:v>58884.3204487012</x:v>
      </x:c>
      <x:c r="I28" s="40" t="n">
        <x:f>IFERROR(H28/H27-1,"")</x:f>
        <x:v>0.021786096127946353</x:v>
      </x:c>
      <x:c r="J28" s="40" t="n">
        <x:f>IFERROR(H28/H25-1,"")</x:f>
        <x:v>0.0291530963334532</x:v>
      </x:c>
      <x:c r="K28" s="40" t="n">
        <x:f>IFERROR(H28/H22-1,"")</x:f>
        <x:v>0.06679253075893699</x:v>
      </x:c>
      <x:c r="L28" s="40" t="n">
        <x:f>IFERROR(J28-J27,"")</x:f>
        <x:v>0.007367000205507068</x:v>
      </x:c>
      <x:c r="M28" s="40" t="n">
        <x:f>IFERROR(J28-D28,"")</x:f>
        <x:v>-0.1085092413288844</x:v>
      </x:c>
      <x:c r="N28" s="42" t="str">
        <x:f>IF(J28&lt;0,IF(D28&lt;0,"Down-cycle","Price up / earnings down"),IF(AND(J28&gt;0,L28&lt;0,M28&lt;-0.15),"Late-cycle warning",IF(AND(J28&gt;0,M28&gt;0),"Earnings-led expansion",IF(AND(J28&gt;0,D28&lt;0),"Potential dislocation",IF(AND(J28&gt;0,M28&lt;0),"Price ahead / rerating","Neutral")))))</x:f>
        <x:v>Price ahead / rerating</x:v>
      </x:c>
      <x:c r="O28" s="40" t="n">
        <x:v>-0.007420115717874598</x:v>
      </x:c>
      <x:c r="P28" s="40" t="n">
        <x:v>0.5808823529411765</x:v>
      </x:c>
      <x:c r="Q28" s="40" t="n">
        <x:v>0.4153846153846154</x:v>
      </x:c>
      <x:c r="R28" s="40" t="n">
        <x:v>0.7323943661971831</x:v>
      </x:c>
      <x:c r="S28" s="40" t="n">
        <x:v>0.2676056338028169</x:v>
      </x:c>
      <x:c r="T28" s="40" t="n">
        <x:v>0.8529411764705882</x:v>
      </x:c>
      <x:c r="U28" s="40" t="n">
        <x:v>0.631422771002588</x:v>
      </x:c>
      <x:c r="V28" s="40" t="n">
        <x:v>0.5312643394302466</x:v>
      </x:c>
      <x:c r="W28" s="64" t="str">
        <x:v>Stage 13 – Mixed / Transition</x:v>
      </x:c>
      <x:c r="X28" s="64" t="str">
        <x:v>Rev3M +2.9%; Accel3M -0.7ppt; Stock3M +13.8%; EV/EBITDA 5.0x (73th pct); PeakRatio36M 63%; Multiple3M +12.7%; Earnings-Price Gap -10.9%; CycleHeat 53%. Signals do not fit one dominant state; treat as a transition and require confirmation from the next 1–3 monthly observations.</x:v>
      </x:c>
    </x:row>
    <x:row r="29">
      <x:c r="A29" s="32" t="n">
        <x:v>43861</x:v>
      </x:c>
      <x:c r="B29" s="33" t="n">
        <x:v>0.1068</x:v>
      </x:c>
      <x:c r="C29" s="40" t="n">
        <x:f>IFERROR((1+B29)/(1+B28)-1,"")</x:f>
        <x:v>0.010776255707762639</x:v>
      </x:c>
      <x:c r="D29" s="40" t="n">
        <x:f>IFERROR((1+B29)/(1+B26)-1,"")</x:f>
        <x:v>0.11911021233569263</x:v>
      </x:c>
      <x:c r="E29" s="40" t="n">
        <x:f>IFERROR((1+B29)/(1+B23)-1,"")</x:f>
        <x:v>0.2437352511518147</x:v>
      </x:c>
      <x:c r="F29" s="36" t="n">
        <x:v>4.539715287274424</x:v>
      </x:c>
      <x:c r="G29" s="40" t="n">
        <x:f>IFERROR(F29/F26-1,"")</x:f>
        <x:v>0.006002550727598477</x:v>
      </x:c>
      <x:c r="H29" s="38" t="n">
        <x:v>67013.08323153308</x:v>
      </x:c>
      <x:c r="I29" s="40" t="n">
        <x:f>IFERROR(H29/H28-1,"")</x:f>
        <x:v>0.13804630368305748</x:v>
      </x:c>
      <x:c r="J29" s="40" t="n">
        <x:f>IFERROR(H29/H26-1,"")</x:f>
        <x:v>0.17122387720625998</x:v>
      </x:c>
      <x:c r="K29" s="40" t="n">
        <x:f>IFERROR(H29/H23-1,"")</x:f>
        <x:v>0.1967402731824195</x:v>
      </x:c>
      <x:c r="L29" s="40" t="n">
        <x:f>IFERROR(J29-J28,"")</x:f>
        <x:v>0.14207078087280678</x:v>
      </x:c>
      <x:c r="M29" s="40" t="n">
        <x:f>IFERROR(J29-D29,"")</x:f>
        <x:v>0.052113664870567344</x:v>
      </x:c>
      <x:c r="N29" s="42" t="str">
        <x:f>IF(J29&lt;0,IF(D29&lt;0,"Down-cycle","Price up / earnings down"),IF(AND(J29&gt;0,L29&lt;0,M29&lt;-0.15),"Late-cycle warning",IF(AND(J29&gt;0,M29&gt;0),"Earnings-led expansion",IF(AND(J29&gt;0,D29&lt;0),"Potential dislocation",IF(AND(J29&gt;0,M29&lt;0),"Price ahead / rerating","Neutral")))))</x:f>
        <x:v>Earnings-led expansion</x:v>
      </x:c>
      <x:c r="O29" s="40" t="n">
        <x:v>0.14943778107831562</x:v>
      </x:c>
      <x:c r="P29" s="40" t="n">
        <x:v>0.9705882352941176</x:v>
      </x:c>
      <x:c r="Q29" s="40" t="n">
        <x:v>0.8923076923076924</x:v>
      </x:c>
      <x:c r="R29" s="40" t="n">
        <x:v>0.6901408450704225</x:v>
      </x:c>
      <x:c r="S29" s="40" t="n">
        <x:v>0.3098591549295775</x:v>
      </x:c>
      <x:c r="T29" s="40" t="n">
        <x:v>0.8235294117647058</x:v>
      </x:c>
      <x:c r="U29" s="40" t="n">
        <x:v>0.7185883506008091</x:v>
      </x:c>
      <x:c r="V29" s="40" t="n">
        <x:v>0.7894605187687209</x:v>
      </x:c>
      <x:c r="W29" s="64" t="str">
        <x:v>Stage 6 – Broad Recovery</x:v>
      </x:c>
      <x:c r="X29" s="64" t="str">
        <x:v>Rev3M +17.1%; Accel3M +14.9ppt; Stock3M +11.9%; EV/EBITDA 4.5x (69th pct); PeakRatio36M 72%; Multiple3M +0.6%; Earnings-Price Gap +5.2%; CycleHeat 79%. Forward EBITDA revisions are positive and non-decelerating, with earnings recovering toward normal cycle levels.</x:v>
      </x:c>
    </x:row>
    <x:row r="30">
      <x:c r="A30" s="32" t="n">
        <x:v>43890</x:v>
      </x:c>
      <x:c r="B30" s="33" t="n">
        <x:v>0.0636</x:v>
      </x:c>
      <x:c r="C30" s="40" t="n">
        <x:f>IFERROR((1+B30)/(1+B29)-1,"")</x:f>
        <x:v>-0.03903144199494024</x:v>
      </x:c>
      <x:c r="D30" s="40" t="n">
        <x:f>IFERROR((1+B30)/(1+B27)-1,"")</x:f>
        <x:v>0.07760891590678831</x:v>
      </x:c>
      <x:c r="E30" s="40" t="n">
        <x:f>IFERROR((1+B30)/(1+B24)-1,"")</x:f>
        <x:v>0.23187398656474434</x:v>
      </x:c>
      <x:c r="F30" s="36" t="n">
        <x:v>4.340457442763405</x:v>
      </x:c>
      <x:c r="G30" s="40" t="n">
        <x:f>IFERROR(F30/F27-1,"")</x:f>
        <x:v>-0.026571333694516475</x:v>
      </x:c>
      <x:c r="H30" s="38" t="n">
        <x:v>67013.08323153308</x:v>
      </x:c>
      <x:c r="I30" s="40" t="n">
        <x:f>IFERROR(H30/H29-1,"")</x:f>
        <x:v>0</x:v>
      </x:c>
      <x:c r="J30" s="40" t="n">
        <x:f>IFERROR(H30/H27-1,"")</x:f>
        <x:v>0.16283988985315068</x:v>
      </x:c>
      <x:c r="K30" s="40" t="n">
        <x:f>IFERROR(H30/H24-1,"")</x:f>
        <x:v>0.18817363147490163</x:v>
      </x:c>
      <x:c r="L30" s="40" t="n">
        <x:f>IFERROR(J30-J29,"")</x:f>
        <x:v>-0.008383987353109301</x:v>
      </x:c>
      <x:c r="M30" s="40" t="n">
        <x:f>IFERROR(J30-D30,"")</x:f>
        <x:v>0.08523097394636237</x:v>
      </x:c>
      <x:c r="N30" s="42" t="str">
        <x:f>IF(J30&lt;0,IF(D30&lt;0,"Down-cycle","Price up / earnings down"),IF(AND(J30&gt;0,L30&lt;0,M30&lt;-0.15),"Late-cycle warning",IF(AND(J30&gt;0,M30&gt;0),"Earnings-led expansion",IF(AND(J30&gt;0,D30&lt;0),"Potential dislocation",IF(AND(J30&gt;0,M30&lt;0),"Price ahead / rerating","Neutral")))))</x:f>
        <x:v>Earnings-led expansion</x:v>
      </x:c>
      <x:c r="O30" s="40" t="n">
        <x:v>0.14105379372520455</x:v>
      </x:c>
      <x:c r="P30" s="40" t="n">
        <x:v>0.9558823529411765</x:v>
      </x:c>
      <x:c r="Q30" s="40" t="n">
        <x:v>0.8769230769230769</x:v>
      </x:c>
      <x:c r="R30" s="40" t="n">
        <x:v>0.5211267605633803</x:v>
      </x:c>
      <x:c r="S30" s="40" t="n">
        <x:v>0.47887323943661975</x:v>
      </x:c>
      <x:c r="T30" s="40" t="n">
        <x:v>0.7205882352941176</x:v>
      </x:c>
      <x:c r="U30" s="40" t="n">
        <x:v>0.7185883506008091</x:v>
      </x:c>
      <x:c r="V30" s="40" t="n">
        <x:v>0.7936818877063285</x:v>
      </x:c>
      <x:c r="W30" s="64" t="str">
        <x:v>Stage 6 – Broad Recovery</x:v>
      </x:c>
      <x:c r="X30" s="64" t="str">
        <x:v>Rev3M +16.3%; Accel3M +14.1ppt; Stock3M +7.8%; EV/EBITDA 4.3x (52th pct); PeakRatio36M 72%; Multiple3M -2.7%; Earnings-Price Gap +8.5%; CycleHeat 79%. Forward EBITDA revisions are positive and non-decelerating, with earnings recovering toward normal cycle levels.</x:v>
      </x:c>
    </x:row>
    <x:row r="31">
      <x:c r="A31" s="32" t="n">
        <x:v>43921</x:v>
      </x:c>
      <x:c r="B31" s="33" t="n">
        <x:v>-0.063</x:v>
      </x:c>
      <x:c r="C31" s="40" t="n">
        <x:f>IFERROR((1+B31)/(1+B30)-1,"")</x:f>
        <x:v>-0.11902971041745025</x:v>
      </x:c>
      <x:c r="D31" s="40" t="n">
        <x:f>IFERROR((1+B31)/(1+B28)-1,"")</x:f>
        <x:v>-0.1442922374429223</x:v>
      </x:c>
      <x:c r="E31" s="40" t="n">
        <x:f>IFERROR((1+B31)/(1+B25)-1,"")</x:f>
        <x:v>-0.026493506493506458</x:v>
      </x:c>
      <x:c r="F31" s="36" t="n">
        <x:v>3.5413326095899262</x:v>
      </x:c>
      <x:c r="G31" s="40" t="n">
        <x:f>IFERROR(F31/F28-1,"")</x:f>
        <x:v>-0.2953820377361066</x:v>
      </x:c>
      <x:c r="H31" s="38" t="n">
        <x:v>65114.78561380177</x:v>
      </x:c>
      <x:c r="I31" s="40" t="n">
        <x:f>IFERROR(H31/H30-1,"")</x:f>
        <x:v>-0.028327268739040234</x:v>
      </x:c>
      <x:c r="J31" s="40" t="n">
        <x:f>IFERROR(H31/H28-1,"")</x:f>
        <x:v>0.10580856020115603</x:v>
      </x:c>
      <x:c r="K31" s="40" t="n">
        <x:f>IFERROR(H31/H25-1,"")</x:f>
        <x:v>0.1380463036830577</x:v>
      </x:c>
      <x:c r="L31" s="40" t="n">
        <x:f>IFERROR(J31-J30,"")</x:f>
        <x:v>-0.057031329651994644</x:v>
      </x:c>
      <x:c r="M31" s="40" t="n">
        <x:f>IFERROR(J31-D31,"")</x:f>
        <x:v>0.25010079764407833</x:v>
      </x:c>
      <x:c r="N31" s="42" t="str">
        <x:f>IF(J31&lt;0,IF(D31&lt;0,"Down-cycle","Price up / earnings down"),IF(AND(J31&gt;0,L31&lt;0,M31&lt;-0.15),"Late-cycle warning",IF(AND(J31&gt;0,M31&gt;0),"Earnings-led expansion",IF(AND(J31&gt;0,D31&lt;0),"Potential dislocation",IF(AND(J31&gt;0,M31&lt;0),"Price ahead / rerating","Neutral")))))</x:f>
        <x:v>Earnings-led expansion</x:v>
      </x:c>
      <x:c r="O31" s="40" t="n">
        <x:v>0.07665546386770283</x:v>
      </x:c>
      <x:c r="P31" s="40" t="n">
        <x:v>0.8382352941176471</x:v>
      </x:c>
      <x:c r="Q31" s="40" t="n">
        <x:v>0.6615384615384615</x:v>
      </x:c>
      <x:c r="R31" s="40" t="n">
        <x:v>0.30985915492957744</x:v>
      </x:c>
      <x:c r="S31" s="40" t="n">
        <x:v>0.6901408450704225</x:v>
      </x:c>
      <x:c r="T31" s="40" t="n">
        <x:v>0.029411764705882353</x:v>
      </x:c>
      <x:c r="U31" s="40" t="n">
        <x:v>0.6982327052805962</x:v>
      </x:c>
      <x:c r="V31" s="40" t="n">
        <x:v>0.6026774902810529</x:v>
      </x:c>
      <x:c r="W31" s="64" t="str">
        <x:v>Stage 5 – Early Recovery</x:v>
      </x:c>
      <x:c r="X31" s="64" t="str">
        <x:v>Rev3M +10.6%; Accel3M +7.7ppt; Stock3M -14.4%; EV/EBITDA 3.5x (31th pct); PeakRatio36M 70%; Multiple3M -29.5%; Earnings-Price Gap +25.0%; CycleHeat 60%. Forward EBITDA revisions have turned positive and are accelerating, but EBITDA remains well below its recent peak.</x:v>
      </x:c>
    </x:row>
    <x:row r="32">
      <x:c r="A32" s="32" t="n">
        <x:v>43951</x:v>
      </x:c>
      <x:c r="B32" s="33" t="n">
        <x:v>-0.0188</x:v>
      </x:c>
      <x:c r="C32" s="40" t="n">
        <x:f>IFERROR((1+B32)/(1+B31)-1,"")</x:f>
        <x:v>0.047171824973319065</x:v>
      </x:c>
      <x:c r="D32" s="40" t="n">
        <x:f>IFERROR((1+B32)/(1+B29)-1,"")</x:f>
        <x:v>-0.11348030357788219</x:v>
      </x:c>
      <x:c r="E32" s="40" t="n">
        <x:f>IFERROR((1+B32)/(1+B26)-1,"")</x:f>
        <x:v>-0.007886754297270038</x:v>
      </x:c>
      <x:c r="F32" s="36" t="n">
        <x:v>3.9559403397321713</x:v>
      </x:c>
      <x:c r="G32" s="40" t="n">
        <x:f>IFERROR(F32/F29-1,"")</x:f>
        <x:v>-0.12859285452959368</x:v>
      </x:c>
      <x:c r="H32" s="38" t="n">
        <x:v>60600.980715271995</x:v>
      </x:c>
      <x:c r="I32" s="40" t="n">
        <x:f>IFERROR(H32/H31-1,"")</x:f>
        <x:v>-0.06932073654210147</x:v>
      </x:c>
      <x:c r="J32" s="40" t="n">
        <x:f>IFERROR(H32/H29-1,"")</x:f>
        <x:v>-0.09568433814792543</x:v>
      </x:c>
      <x:c r="K32" s="40" t="n">
        <x:f>IFERROR(H32/H26-1,"")</x:f>
        <x:v>0.05915609569273195</x:v>
      </x:c>
      <x:c r="L32" s="40" t="n">
        <x:f>IFERROR(J32-J31,"")</x:f>
        <x:v>-0.20149289834908146</x:v>
      </x:c>
      <x:c r="M32" s="40" t="n">
        <x:f>IFERROR(J32-D32,"")</x:f>
        <x:v>0.01779596542995676</x:v>
      </x:c>
      <x:c r="N32" s="42" t="str">
        <x:f>IF(J32&lt;0,IF(D32&lt;0,"Down-cycle","Price up / earnings down"),IF(AND(J32&gt;0,L32&lt;0,M32&lt;-0.15),"Late-cycle warning",IF(AND(J32&gt;0,M32&gt;0),"Earnings-led expansion",IF(AND(J32&gt;0,D32&lt;0),"Potential dislocation",IF(AND(J32&gt;0,M32&lt;0),"Price ahead / rerating","Neutral")))))</x:f>
        <x:v>Down-cycle</x:v>
      </x:c>
      <x:c r="O32" s="40" t="n">
        <x:v>-0.2669082153541854</x:v>
      </x:c>
      <x:c r="P32" s="40" t="n">
        <x:v>0.22058823529411764</x:v>
      </x:c>
      <x:c r="Q32" s="40" t="n">
        <x:v>0.046153846153846156</x:v>
      </x:c>
      <x:c r="R32" s="40" t="n">
        <x:v>0.38028169014084506</x:v>
      </x:c>
      <x:c r="S32" s="40" t="n">
        <x:v>0.619718309859155</x:v>
      </x:c>
      <x:c r="T32" s="40" t="n">
        <x:v>0.08823529411764706</x:v>
      </x:c>
      <x:c r="U32" s="40" t="n">
        <x:v>0.6498306998727612</x:v>
      </x:c>
      <x:c r="V32" s="40" t="n">
        <x:v>0.23033506468676312</x:v>
      </x:c>
      <x:c r="W32" s="64" t="str">
        <x:v>Stage 1 – Downturn Acceleration</x:v>
      </x:c>
      <x:c r="X32" s="64" t="str">
        <x:v>Rev3M -9.6%; Accel3M -26.7ppt; Stock3M -11.3%; EV/EBITDA 4.0x (38th pct); PeakRatio36M 65%; Multiple3M -12.9%; Earnings-Price Gap +1.8%; CycleHeat 23%. Forward EBITDA is being cut, revision momentum is still worsening, the stock is falling, and earnings are already well below the prior peak.</x:v>
      </x:c>
    </x:row>
    <x:row r="33">
      <x:c r="A33" s="32" t="n">
        <x:v>43982</x:v>
      </x:c>
      <x:c r="B33" s="33" t="n">
        <x:v>-0.0051</x:v>
      </x:c>
      <x:c r="C33" s="40" t="n">
        <x:f>IFERROR((1+B33)/(1+B32)-1,"")</x:f>
        <x:v>0.013962494904198985</x:v>
      </x:c>
      <x:c r="D33" s="40" t="n">
        <x:f>IFERROR((1+B33)/(1+B30)-1,"")</x:f>
        <x:v>-0.06459195186160216</x:v>
      </x:c>
      <x:c r="E33" s="40" t="n">
        <x:f>IFERROR((1+B33)/(1+B27)-1,"")</x:f>
        <x:v>0.008004052684903673</x:v>
      </x:c>
      <x:c r="F33" s="36" t="n">
        <x:v>4.512628008737197</x:v>
      </x:c>
      <x:c r="G33" s="40" t="n">
        <x:f>IFERROR(F33/F30-1,"")</x:f>
        <x:v>0.039666456414828355</x:v>
      </x:c>
      <x:c r="H33" s="38" t="n">
        <x:v>59736.48439558227</x:v>
      </x:c>
      <x:c r="I33" s="40" t="n">
        <x:f>IFERROR(H33/H32-1,"")</x:f>
        <x:v>-0.014265384973742856</x:v>
      </x:c>
      <x:c r="J33" s="40" t="n">
        <x:f>IFERROR(H33/H30-1,"")</x:f>
        <x:v>-0.10858474920203032</x:v>
      </x:c>
      <x:c r="K33" s="40" t="n">
        <x:f>IFERROR(H33/H27-1,"")</x:f>
        <x:v>0.03657321205132957</x:v>
      </x:c>
      <x:c r="L33" s="40" t="n">
        <x:f>IFERROR(J33-J32,"")</x:f>
        <x:v>-0.012900411054104888</x:v>
      </x:c>
      <x:c r="M33" s="40" t="n">
        <x:f>IFERROR(J33-D33,"")</x:f>
        <x:v>-0.04399279734042816</x:v>
      </x:c>
      <x:c r="N33" s="42" t="str">
        <x:f>IF(J33&lt;0,IF(D33&lt;0,"Down-cycle","Price up / earnings down"),IF(AND(J33&gt;0,L33&lt;0,M33&lt;-0.15),"Late-cycle warning",IF(AND(J33&gt;0,M33&gt;0),"Earnings-led expansion",IF(AND(J33&gt;0,D33&lt;0),"Potential dislocation",IF(AND(J33&gt;0,M33&lt;0),"Price ahead / rerating","Neutral")))))</x:f>
        <x:v>Down-cycle</x:v>
      </x:c>
      <x:c r="O33" s="40" t="n">
        <x:v>-0.271424639055181</x:v>
      </x:c>
      <x:c r="P33" s="40" t="n">
        <x:v>0.19117647058823528</x:v>
      </x:c>
      <x:c r="Q33" s="40" t="n">
        <x:v>0.03076923076923077</x:v>
      </x:c>
      <x:c r="R33" s="40" t="n">
        <x:v>0.6408450704225352</x:v>
      </x:c>
      <x:c r="S33" s="40" t="n">
        <x:v>0.35915492957746475</x:v>
      </x:c>
      <x:c r="T33" s="40" t="n">
        <x:v>0.23529411764705882</x:v>
      </x:c>
      <x:c r="U33" s="40" t="n">
        <x:v>0.6405606147713195</x:v>
      </x:c>
      <x:c r="V33" s="40" t="n">
        <x:v>0.19349388184309474</x:v>
      </x:c>
      <x:c r="W33" s="64" t="str">
        <x:v>Stage 1 – Downturn Acceleration</x:v>
      </x:c>
      <x:c r="X33" s="64" t="str">
        <x:v>Rev3M -10.9%; Accel3M -27.1ppt; Stock3M -6.5%; EV/EBITDA 4.5x (64th pct); PeakRatio36M 64%; Multiple3M +4.0%; Earnings-Price Gap -4.4%; CycleHeat 19%. Forward EBITDA is being cut, revision momentum is still worsening, the stock is falling, and earnings are already well below the prior peak.</x:v>
      </x:c>
    </x:row>
    <x:row r="34">
      <x:c r="A34" s="32" t="n">
        <x:v>44012</x:v>
      </x:c>
      <x:c r="B34" s="33" t="n">
        <x:v>0.0361</x:v>
      </x:c>
      <x:c r="C34" s="40" t="n">
        <x:f>IFERROR((1+B34)/(1+B33)-1,"")</x:f>
        <x:v>0.04141119710523666</x:v>
      </x:c>
      <x:c r="D34" s="40" t="n">
        <x:f>IFERROR((1+B34)/(1+B31)-1,"")</x:f>
        <x:v>0.10576307363927429</x:v>
      </x:c>
      <x:c r="E34" s="40" t="n">
        <x:f>IFERROR((1+B34)/(1+B28)-1,"")</x:f>
        <x:v>-0.05378995433789946</x:v>
      </x:c>
      <x:c r="F34" s="36" t="n">
        <x:v>4.327488888957642</x:v>
      </x:c>
      <x:c r="G34" s="40" t="n">
        <x:f>IFERROR(F34/F31-1,"")</x:f>
        <x:v>0.22199447666644057</x:v>
      </x:c>
      <x:c r="H34" s="38" t="n">
        <x:v>62367.68694396606</x:v>
      </x:c>
      <x:c r="I34" s="40" t="n">
        <x:f>IFERROR(H34/H33-1,"")</x:f>
        <x:v>0.044046826240386805</x:v>
      </x:c>
      <x:c r="J34" s="40" t="n">
        <x:f>IFERROR(H34/H31-1,"")</x:f>
        <x:v>-0.042188554318966065</x:v>
      </x:c>
      <x:c r="K34" s="40" t="n">
        <x:f>IFERROR(H34/H28-1,"")</x:f>
        <x:v>0.05915609569273195</x:v>
      </x:c>
      <x:c r="L34" s="40" t="n">
        <x:f>IFERROR(J34-J33,"")</x:f>
        <x:v>0.06639619488306425</x:v>
      </x:c>
      <x:c r="M34" s="40" t="n">
        <x:f>IFERROR(J34-D34,"")</x:f>
        <x:v>-0.14795162795824035</x:v>
      </x:c>
      <x:c r="N34" s="42" t="str">
        <x:f>IF(J34&lt;0,IF(D34&lt;0,"Down-cycle","Price up / earnings down"),IF(AND(J34&gt;0,L34&lt;0,M34&lt;-0.15),"Late-cycle warning",IF(AND(J34&gt;0,M34&gt;0),"Earnings-led expansion",IF(AND(J34&gt;0,D34&lt;0),"Potential dislocation",IF(AND(J34&gt;0,M34&lt;0),"Price ahead / rerating","Neutral")))))</x:f>
        <x:v>Price up / earnings down</x:v>
      </x:c>
      <x:c r="O34" s="40" t="n">
        <x:v>-0.1479971145201221</x:v>
      </x:c>
      <x:c r="P34" s="40" t="n">
        <x:v>0.3382352941176471</x:v>
      </x:c>
      <x:c r="Q34" s="40" t="n">
        <x:v>0.09230769230769231</x:v>
      </x:c>
      <x:c r="R34" s="40" t="n">
        <x:v>0.5</x:v>
      </x:c>
      <x:c r="S34" s="40" t="n">
        <x:v>0.5</x:v>
      </x:c>
      <x:c r="T34" s="40" t="n">
        <x:v>0.7941176470588235</x:v>
      </x:c>
      <x:c r="U34" s="40" t="n">
        <x:v>0.6687752768665871</x:v>
      </x:c>
      <x:c r="V34" s="40" t="n">
        <x:v>0.4002828054298643</x:v>
      </x:c>
      <x:c r="W34" s="64" t="str">
        <x:v>Stage 13 – Mixed / Transition</x:v>
      </x:c>
      <x:c r="X34" s="64" t="str">
        <x:v>Rev3M -4.2%; Accel3M -14.8ppt; Stock3M +10.6%; EV/EBITDA 4.3x (50th pct); PeakRatio36M 67%; Multiple3M +22.2%; Earnings-Price Gap -14.8%; CycleHeat 40%. Signals do not fit one dominant state; treat as a transition and require confirmation from the next 1–3 monthly observations.</x:v>
      </x:c>
    </x:row>
    <x:row r="35">
      <x:c r="A35" s="32" t="n">
        <x:v>44043</x:v>
      </x:c>
      <x:c r="B35" s="33" t="n">
        <x:v>0.1362</x:v>
      </x:c>
      <x:c r="C35" s="40" t="n">
        <x:f>IFERROR((1+B35)/(1+B34)-1,"")</x:f>
        <x:v>0.09661229611041411</x:v>
      </x:c>
      <x:c r="D35" s="40" t="n">
        <x:f>IFERROR((1+B35)/(1+B32)-1,"")</x:f>
        <x:v>0.15796983285772548</x:v>
      </x:c>
      <x:c r="E35" s="40" t="n">
        <x:f>IFERROR((1+B35)/(1+B29)-1,"")</x:f>
        <x:v>0.026563064691001115</x:v>
      </x:c>
      <x:c r="F35" s="36" t="n">
        <x:v>4.512628008737197</x:v>
      </x:c>
      <x:c r="G35" s="40" t="n">
        <x:f>IFERROR(F35/F32-1,"")</x:f>
        <x:v>0.1407219576629699</x:v>
      </x:c>
      <x:c r="H35" s="38" t="n">
        <x:v>64185.898129538145</x:v>
      </x:c>
      <x:c r="I35" s="40" t="n">
        <x:f>IFERROR(H35/H34-1,"")</x:f>
        <x:v>0.029153096333452977</x:v>
      </x:c>
      <x:c r="J35" s="40" t="n">
        <x:f>IFERROR(H35/H32-1,"")</x:f>
        <x:v>0.059156095692733945</x:v>
      </x:c>
      <x:c r="K35" s="40" t="n">
        <x:f>IFERROR(H35/H29-1,"")</x:f>
        <x:v>-0.042188554318966176</x:v>
      </x:c>
      <x:c r="L35" s="40" t="n">
        <x:f>IFERROR(J35-J34,"")</x:f>
        <x:v>0.10134465001170001</x:v>
      </x:c>
      <x:c r="M35" s="40" t="n">
        <x:f>IFERROR(J35-D35,"")</x:f>
        <x:v>-0.09881373716499153</x:v>
      </x:c>
      <x:c r="N35" s="42" t="str">
        <x:f>IF(J35&lt;0,IF(D35&lt;0,"Down-cycle","Price up / earnings down"),IF(AND(J35&gt;0,L35&lt;0,M35&lt;-0.15),"Late-cycle warning",IF(AND(J35&gt;0,M35&gt;0),"Earnings-led expansion",IF(AND(J35&gt;0,D35&lt;0),"Potential dislocation",IF(AND(J35&gt;0,M35&lt;0),"Price ahead / rerating","Neutral")))))</x:f>
        <x:v>Price ahead / rerating</x:v>
      </x:c>
      <x:c r="O35" s="40" t="n">
        <x:v>0.15484043384065937</x:v>
      </x:c>
      <x:c r="P35" s="40" t="n">
        <x:v>0.6617647058823529</x:v>
      </x:c>
      <x:c r="Q35" s="40" t="n">
        <x:v>0.9076923076923077</x:v>
      </x:c>
      <x:c r="R35" s="40" t="n">
        <x:v>0.6408450704225352</x:v>
      </x:c>
      <x:c r="S35" s="40" t="n">
        <x:v>0.35915492957746475</x:v>
      </x:c>
      <x:c r="T35" s="40" t="n">
        <x:v>0.9264705882352942</x:v>
      </x:c>
      <x:c r="U35" s="40" t="n">
        <x:v>0.6882721469385106</x:v>
      </x:c>
      <x:c r="V35" s="40" t="n">
        <x:v>0.7156658275444522</x:v>
      </x:c>
      <x:c r="W35" s="64" t="str">
        <x:v>Stage 5 – Early Recovery</x:v>
      </x:c>
      <x:c r="X35" s="64" t="str">
        <x:v>Rev3M +5.9%; Accel3M +15.5ppt; Stock3M +15.8%; EV/EBITDA 4.5x (64th pct); PeakRatio36M 69%; Multiple3M +14.1%; Earnings-Price Gap -9.9%; CycleHeat 72%. Forward EBITDA revisions have turned positive and are accelerating, but EBITDA remains well below its recent peak.</x:v>
      </x:c>
    </x:row>
    <x:row r="36">
      <x:c r="A36" s="32" t="n">
        <x:v>44074</x:v>
      </x:c>
      <x:c r="B36" s="33" t="n">
        <x:v>0.0597</x:v>
      </x:c>
      <x:c r="C36" s="40" t="n">
        <x:f>IFERROR((1+B36)/(1+B35)-1,"")</x:f>
        <x:v>-0.06732969547614853</x:v>
      </x:c>
      <x:c r="D36" s="40" t="n">
        <x:f>IFERROR((1+B36)/(1+B33)-1,"")</x:f>
        <x:v>0.0651321740878481</x:v>
      </x:c>
      <x:c r="E36" s="40" t="n">
        <x:f>IFERROR((1+B36)/(1+B30)-1,"")</x:f>
        <x:v>-0.0036667920270778698</x:v>
      </x:c>
      <x:c r="F36" s="36" t="n">
        <x:v>4.4857023528155135</x:v>
      </x:c>
      <x:c r="G36" s="40" t="n">
        <x:f>IFERROR(F36/F33-1,"")</x:f>
        <x:v>-0.005966735097497677</x:v>
      </x:c>
      <x:c r="H36" s="38" t="n">
        <x:v>63270.261582834726</x:v>
      </x:c>
      <x:c r="I36" s="40" t="n">
        <x:f>IFERROR(H36/H35-1,"")</x:f>
        <x:v>-0.014265384973744633</x:v>
      </x:c>
      <x:c r="J36" s="40" t="n">
        <x:f>IFERROR(H36/H33-1,"")</x:f>
        <x:v>0.05915609569273195</x:v>
      </x:c>
      <x:c r="K36" s="40" t="n">
        <x:f>IFERROR(H36/H30-1,"")</x:f>
        <x:v>-0.05585210332386503</x:v>
      </x:c>
      <x:c r="L36" s="40" t="n">
        <x:f>IFERROR(J36-J35,"")</x:f>
        <x:v>-1.9984014443252818e-15</x:v>
      </x:c>
      <x:c r="M36" s="40" t="n">
        <x:f>IFERROR(J36-D36,"")</x:f>
        <x:v>-0.005976078395116158</x:v>
      </x:c>
      <x:c r="N36" s="42" t="str">
        <x:f>IF(J36&lt;0,IF(D36&lt;0,"Down-cycle","Price up / earnings down"),IF(AND(J36&gt;0,L36&lt;0,M36&lt;-0.15),"Late-cycle warning",IF(AND(J36&gt;0,M36&gt;0),"Earnings-led expansion",IF(AND(J36&gt;0,D36&lt;0),"Potential dislocation",IF(AND(J36&gt;0,M36&lt;0),"Price ahead / rerating","Neutral")))))</x:f>
        <x:v>Price ahead / rerating</x:v>
      </x:c>
      <x:c r="O36" s="40" t="n">
        <x:v>0.16774084489476226</x:v>
      </x:c>
      <x:c r="P36" s="40" t="n">
        <x:v>0.6470588235294118</x:v>
      </x:c>
      <x:c r="Q36" s="40" t="n">
        <x:v>0.9230769230769231</x:v>
      </x:c>
      <x:c r="R36" s="40" t="n">
        <x:v>0.6056338028169014</x:v>
      </x:c>
      <x:c r="S36" s="40" t="n">
        <x:v>0.3943661971830986</x:v>
      </x:c>
      <x:c r="T36" s="40" t="n">
        <x:v>0.6617647058823529</x:v>
      </x:c>
      <x:c r="U36" s="40" t="n">
        <x:v>0.6784536797957269</x:v>
      </x:c>
      <x:c r="V36" s="40" t="n">
        <x:v>0.6684659996176152</x:v>
      </x:c>
      <x:c r="W36" s="64" t="str">
        <x:v>Stage 5 – Early Recovery</x:v>
      </x:c>
      <x:c r="X36" s="64" t="str">
        <x:v>Rev3M +5.9%; Accel3M +16.8ppt; Stock3M +6.5%; EV/EBITDA 4.5x (61th pct); PeakRatio36M 68%; Multiple3M -0.6%; Earnings-Price Gap -0.6%; CycleHeat 67%. Forward EBITDA revisions have turned positive and are accelerating, but EBITDA remains well below its recent peak.</x:v>
      </x:c>
    </x:row>
    <x:row r="37">
      <x:c r="A37" s="32" t="n">
        <x:v>44104</x:v>
      </x:c>
      <x:c r="B37" s="33" t="n">
        <x:v>0.1421</x:v>
      </x:c>
      <x:c r="C37" s="40" t="n">
        <x:f>IFERROR((1+B37)/(1+B36)-1,"")</x:f>
        <x:v>0.07775785599698026</x:v>
      </x:c>
      <x:c r="D37" s="40" t="n">
        <x:f>IFERROR((1+B37)/(1+B34)-1,"")</x:f>
        <x:v>0.1023067271498892</x:v>
      </x:c>
      <x:c r="E37" s="40" t="n">
        <x:f>IFERROR((1+B37)/(1+B31)-1,"")</x:f>
        <x:v>0.21889007470651012</x:v>
      </x:c>
      <x:c r="F37" s="36" t="n">
        <x:v>4.512628008737197</x:v>
      </x:c>
      <x:c r="G37" s="40" t="n">
        <x:f>IFERROR(F37/F34-1,"")</x:f>
        <x:v>0.042782113260179555</x:v>
      </x:c>
      <x:c r="H37" s="38" t="n">
        <x:v>67982.88526141304</x:v>
      </x:c>
      <x:c r="I37" s="40" t="n">
        <x:f>IFERROR(H37/H36-1,"")</x:f>
        <x:v>0.07448402394240872</x:v>
      </x:c>
      <x:c r="J37" s="40" t="n">
        <x:f>IFERROR(H37/H34-1,"")</x:f>
        <x:v>0.09003377538262614</x:v>
      </x:c>
      <x:c r="K37" s="40" t="n">
        <x:f>IFERROR(H37/H31-1,"")</x:f>
        <x:v>0.04404682624038858</x:v>
      </x:c>
      <x:c r="L37" s="40" t="n">
        <x:f>IFERROR(J37-J36,"")</x:f>
        <x:v>0.03087767968989419</x:v>
      </x:c>
      <x:c r="M37" s="40" t="n">
        <x:f>IFERROR(J37-D37,"")</x:f>
        <x:v>-0.012272951767263063</x:v>
      </x:c>
      <x:c r="N37" s="42" t="str">
        <x:f>IF(J37&lt;0,IF(D37&lt;0,"Down-cycle","Price up / earnings down"),IF(AND(J37&gt;0,L37&lt;0,M37&lt;-0.15),"Late-cycle warning",IF(AND(J37&gt;0,M37&gt;0),"Earnings-led expansion",IF(AND(J37&gt;0,D37&lt;0),"Potential dislocation",IF(AND(J37&gt;0,M37&lt;0),"Price ahead / rerating","Neutral")))))</x:f>
        <x:v>Price ahead / rerating</x:v>
      </x:c>
      <x:c r="O37" s="40" t="n">
        <x:v>0.1322223297015922</x:v>
      </x:c>
      <x:c r="P37" s="40" t="n">
        <x:v>0.8014705882352942</x:v>
      </x:c>
      <x:c r="Q37" s="40" t="n">
        <x:v>0.8461538461538461</x:v>
      </x:c>
      <x:c r="R37" s="40" t="n">
        <x:v>0.6408450704225352</x:v>
      </x:c>
      <x:c r="S37" s="40" t="n">
        <x:v>0.35915492957746475</x:v>
      </x:c>
      <x:c r="T37" s="40" t="n">
        <x:v>0.7794117647058824</x:v>
      </x:c>
      <x:c r="U37" s="40" t="n">
        <x:v>0.7289876399254471</x:v>
      </x:c>
      <x:c r="V37" s="40" t="n">
        <x:v>0.719766506277484</x:v>
      </x:c>
      <x:c r="W37" s="64" t="str">
        <x:v>Stage 6 – Broad Recovery</x:v>
      </x:c>
      <x:c r="X37" s="64" t="str">
        <x:v>Rev3M +9.0%; Accel3M +13.2ppt; Stock3M +10.2%; EV/EBITDA 4.5x (64th pct); PeakRatio36M 73%; Multiple3M +4.3%; Earnings-Price Gap -1.2%; CycleHeat 72%. Forward EBITDA revisions are positive and non-decelerating, with earnings recovering toward normal cycle levels.</x:v>
      </x:c>
    </x:row>
    <x:row r="38">
      <x:c r="A38" s="32" t="n">
        <x:v>44135</x:v>
      </x:c>
      <x:c r="B38" s="33" t="n">
        <x:v>0.1107</x:v>
      </x:c>
      <x:c r="C38" s="40" t="n">
        <x:f>IFERROR((1+B38)/(1+B37)-1,"")</x:f>
        <x:v>-0.02749321425444362</x:v>
      </x:c>
      <x:c r="D38" s="40" t="n">
        <x:f>IFERROR((1+B38)/(1+B35)-1,"")</x:f>
        <x:v>-0.02244323182538288</x:v>
      </x:c>
      <x:c r="E38" s="40" t="n">
        <x:f>IFERROR((1+B38)/(1+B32)-1,"")</x:f>
        <x:v>0.1319812474520996</x:v>
      </x:c>
      <x:c r="F38" s="36" t="n">
        <x:v>4.25048723100761</x:v>
      </x:c>
      <x:c r="G38" s="40" t="n">
        <x:f>IFERROR(F38/F35-1,"")</x:f>
        <x:v>-0.05809049122197507</x:v>
      </x:c>
      <x:c r="H38" s="38" t="n">
        <x:v>69964.79686446511</x:v>
      </x:c>
      <x:c r="I38" s="40" t="n">
        <x:f>IFERROR(H38/H37-1,"")</x:f>
        <x:v>0.0291530963334532</x:v>
      </x:c>
      <x:c r="J38" s="40" t="n">
        <x:f>IFERROR(H38/H35-1,"")</x:f>
        <x:v>0.09003377538262614</x:v>
      </x:c>
      <x:c r="K38" s="40" t="n">
        <x:f>IFERROR(H38/H32-1,"")</x:f>
        <x:v>0.15451591770747286</x:v>
      </x:c>
      <x:c r="L38" s="40" t="n">
        <x:f>IFERROR(J38-J37,"")</x:f>
        <x:v>0</x:v>
      </x:c>
      <x:c r="M38" s="40" t="n">
        <x:f>IFERROR(J38-D38,"")</x:f>
        <x:v>0.11247700720800902</x:v>
      </x:c>
      <x:c r="N38" s="42" t="str">
        <x:f>IF(J38&lt;0,IF(D38&lt;0,"Down-cycle","Price up / earnings down"),IF(AND(J38&gt;0,L38&lt;0,M38&lt;-0.15),"Late-cycle warning",IF(AND(J38&gt;0,M38&gt;0),"Earnings-led expansion",IF(AND(J38&gt;0,D38&lt;0),"Potential dislocation",IF(AND(J38&gt;0,M38&lt;0),"Price ahead / rerating","Neutral")))))</x:f>
        <x:v>Earnings-led expansion</x:v>
      </x:c>
      <x:c r="O38" s="40" t="n">
        <x:v>0.03087767968989219</x:v>
      </x:c>
      <x:c r="P38" s="40" t="n">
        <x:v>0.8014705882352942</x:v>
      </x:c>
      <x:c r="Q38" s="40" t="n">
        <x:v>0.5230769230769231</x:v>
      </x:c>
      <x:c r="R38" s="40" t="n">
        <x:v>0.4788732394366197</x:v>
      </x:c>
      <x:c r="S38" s="40" t="n">
        <x:v>0.5211267605633803</x:v>
      </x:c>
      <x:c r="T38" s="40" t="n">
        <x:v>0.4117647058823529</x:v>
      </x:c>
      <x:c r="U38" s="40" t="n">
        <x:v>0.7502398868180903</x:v>
      </x:c>
      <x:c r="V38" s="40" t="n">
        <x:v>0.5978622299407303</x:v>
      </x:c>
      <x:c r="W38" s="64" t="str">
        <x:v>Stage 7 – Earnings Acceleration</x:v>
      </x:c>
      <x:c r="X38" s="64" t="str">
        <x:v>Rev3M +9.0%; Accel3M +3.1ppt; Stock3M -2.2%; EV/EBITDA 4.3x (48th pct); PeakRatio36M 75%; Multiple3M -5.8%; Earnings-Price Gap +11.2%; CycleHeat 60%. EBITDA revision strength is in a high historical percentile and revision momentum is still accelerating.</x:v>
      </x:c>
    </x:row>
    <x:row r="39">
      <x:c r="A39" s="32" t="n">
        <x:v>44165</x:v>
      </x:c>
      <x:c r="B39" s="33" t="n">
        <x:v>0.3089</x:v>
      </x:c>
      <x:c r="C39" s="40" t="n">
        <x:f>IFERROR((1+B39)/(1+B38)-1,"")</x:f>
        <x:v>0.17844602502926077</x:v>
      </x:c>
      <x:c r="D39" s="40" t="n">
        <x:f>IFERROR((1+B39)/(1+B36)-1,"")</x:f>
        <x:v>0.2351608945928092</x:v>
      </x:c>
      <x:c r="E39" s="40" t="n">
        <x:f>IFERROR((1+B39)/(1+B33)-1,"")</x:f>
        <x:v>0.31560960900593016</x:v>
      </x:c>
      <x:c r="F39" s="36" t="n">
        <x:v>5.163080268211926</x:v>
      </x:c>
      <x:c r="G39" s="40" t="n">
        <x:f>IFERROR(F39/F36-1,"")</x:f>
        <x:v>0.1510082172463465</x:v>
      </x:c>
      <x:c r="H39" s="38" t="n">
        <x:v>70977.31559584265</x:v>
      </x:c>
      <x:c r="I39" s="40" t="n">
        <x:f>IFERROR(H39/H38-1,"")</x:f>
        <x:v>0.014471831217333087</x:v>
      </x:c>
      <x:c r="J39" s="40" t="n">
        <x:f>IFERROR(H39/H36-1,"")</x:f>
        <x:v>0.12181163504307135</x:v>
      </x:c>
      <x:c r="K39" s="40" t="n">
        <x:f>IFERROR(H39/H33-1,"")</x:f>
        <x:v>0.1881736314748994</x:v>
      </x:c>
      <x:c r="L39" s="40" t="n">
        <x:f>IFERROR(J39-J38,"")</x:f>
        <x:v>0.03177785966044522</x:v>
      </x:c>
      <x:c r="M39" s="40" t="n">
        <x:f>IFERROR(J39-D39,"")</x:f>
        <x:v>-0.11334925954973785</x:v>
      </x:c>
      <x:c r="N39" s="42" t="str">
        <x:f>IF(J39&lt;0,IF(D39&lt;0,"Down-cycle","Price up / earnings down"),IF(AND(J39&gt;0,L39&lt;0,M39&lt;-0.15),"Late-cycle warning",IF(AND(J39&gt;0,M39&gt;0),"Earnings-led expansion",IF(AND(J39&gt;0,D39&lt;0),"Potential dislocation",IF(AND(J39&gt;0,M39&lt;0),"Price ahead / rerating","Neutral")))))</x:f>
        <x:v>Price ahead / rerating</x:v>
      </x:c>
      <x:c r="O39" s="40" t="n">
        <x:v>0.0626555393503394</x:v>
      </x:c>
      <x:c r="P39" s="40" t="n">
        <x:v>0.8676470588235294</x:v>
      </x:c>
      <x:c r="Q39" s="40" t="n">
        <x:v>0.6</x:v>
      </x:c>
      <x:c r="R39" s="40" t="n">
        <x:v>0.7605633802816901</x:v>
      </x:c>
      <x:c r="S39" s="40" t="n">
        <x:v>0.23943661971830987</x:v>
      </x:c>
      <x:c r="T39" s="40" t="n">
        <x:v>0.9558823529411765</x:v>
      </x:c>
      <x:c r="U39" s="40" t="n">
        <x:v>0.7610972318326328</x:v>
      </x:c>
      <x:c r="V39" s="40" t="n">
        <x:v>0.6927402651201325</x:v>
      </x:c>
      <x:c r="W39" s="64" t="str">
        <x:v>Stage 7 – Earnings Acceleration</x:v>
      </x:c>
      <x:c r="X39" s="64" t="str">
        <x:v>Rev3M +12.2%; Accel3M +6.3ppt; Stock3M +23.5%; EV/EBITDA 5.2x (76th pct); PeakRatio36M 76%; Multiple3M +15.1%; Earnings-Price Gap -11.3%; CycleHeat 69%. EBITDA revision strength is in a high historical percentile and revision momentum is still accelerating.</x:v>
      </x:c>
    </x:row>
    <x:row r="40">
      <x:c r="A40" s="32" t="n">
        <x:v>44196</x:v>
      </x:c>
      <x:c r="B40" s="33" t="n">
        <x:v>0.5895</x:v>
      </x:c>
      <x:c r="C40" s="40" t="n">
        <x:f>IFERROR((1+B40)/(1+B39)-1,"")</x:f>
        <x:v>0.2143784857513944</x:v>
      </x:c>
      <x:c r="D40" s="40" t="n">
        <x:f>IFERROR((1+B40)/(1+B37)-1,"")</x:f>
        <x:v>0.391734524122231</x:v>
      </x:c>
      <x:c r="E40" s="40" t="n">
        <x:f>IFERROR((1+B40)/(1+B34)-1,"")</x:f>
        <x:v>0.5341183283466848</x:v>
      </x:c>
      <x:c r="F40" s="36" t="n">
        <x:v>6.658399618267177</x:v>
      </x:c>
      <x:c r="G40" s="40" t="n">
        <x:f>IFERROR(F40/F37-1,"")</x:f>
        <x:v>0.47550376529494787</x:v>
      </x:c>
      <x:c r="H40" s="38" t="n">
        <x:v>69964.79686446511</x:v>
      </x:c>
      <x:c r="I40" s="40" t="n">
        <x:f>IFERROR(H40/H39-1,"")</x:f>
        <x:v>-0.014265384973742856</x:v>
      </x:c>
      <x:c r="J40" s="40" t="n">
        <x:f>IFERROR(H40/H37-1,"")</x:f>
        <x:v>0.0291530963334532</x:v>
      </x:c>
      <x:c r="K40" s="40" t="n">
        <x:f>IFERROR(H40/H34-1,"")</x:f>
        <x:v>0.12181163504307357</x:v>
      </x:c>
      <x:c r="L40" s="40" t="n">
        <x:f>IFERROR(J40-J39,"")</x:f>
        <x:v>-0.09265853870961815</x:v>
      </x:c>
      <x:c r="M40" s="40" t="n">
        <x:f>IFERROR(J40-D40,"")</x:f>
        <x:v>-0.3625814277887778</x:v>
      </x:c>
      <x:c r="N40" s="42" t="str">
        <x:f>IF(J40&lt;0,IF(D40&lt;0,"Down-cycle","Price up / earnings down"),IF(AND(J40&gt;0,L40&lt;0,M40&lt;-0.15),"Late-cycle warning",IF(AND(J40&gt;0,M40&gt;0),"Earnings-led expansion",IF(AND(J40&gt;0,D40&lt;0),"Potential dislocation",IF(AND(J40&gt;0,M40&lt;0),"Price ahead / rerating","Neutral")))))</x:f>
        <x:v>Late-cycle warning</x:v>
      </x:c>
      <x:c r="O40" s="40" t="n">
        <x:v>-0.06088067904917294</x:v>
      </x:c>
      <x:c r="P40" s="40" t="n">
        <x:v>0.5808823529411765</x:v>
      </x:c>
      <x:c r="Q40" s="40" t="n">
        <x:v>0.2923076923076923</x:v>
      </x:c>
      <x:c r="R40" s="40" t="n">
        <x:v>0.971830985915493</x:v>
      </x:c>
      <x:c r="S40" s="40" t="n">
        <x:v>0.028169014084507005</x:v>
      </x:c>
      <x:c r="T40" s="40" t="n">
        <x:v>0.9852941176470589</x:v>
      </x:c>
      <x:c r="U40" s="40" t="n">
        <x:v>0.7502398868180903</x:v>
      </x:c>
      <x:c r="V40" s="40" t="n">
        <x:v>0.47907837295264805</x:v>
      </x:c>
      <x:c r="W40" s="64" t="str">
        <x:v>Stage 13 – Mixed / Transition</x:v>
      </x:c>
      <x:c r="X40" s="64" t="str">
        <x:v>Rev3M +2.9%; Accel3M -6.1ppt; Stock3M +39.2%; EV/EBITDA 6.7x (97th pct); PeakRatio36M 75%; Multiple3M +47.6%; Earnings-Price Gap -36.3%; CycleHeat 48%. Signals do not fit one dominant state; treat as a transition and require confirmation from the next 1–3 monthly observations.</x:v>
      </x:c>
    </x:row>
    <x:row r="41">
      <x:c r="A41" s="32" t="n">
        <x:v>44227</x:v>
      </x:c>
      <x:c r="B41" s="33" t="n">
        <x:v>0.6091</x:v>
      </x:c>
      <x:c r="C41" s="40" t="n">
        <x:f>IFERROR((1+B41)/(1+B40)-1,"")</x:f>
        <x:v>0.012330921673482154</x:v>
      </x:c>
      <x:c r="D41" s="40" t="n">
        <x:f>IFERROR((1+B41)/(1+B38)-1,"")</x:f>
        <x:v>0.4487260286305932</x:v>
      </x:c>
      <x:c r="E41" s="40" t="n">
        <x:f>IFERROR((1+B41)/(1+B35)-1,"")</x:f>
        <x:v>0.41621193451857064</x:v>
      </x:c>
      <x:c r="F41" s="36" t="n">
        <x:v>5.698935318745398</x:v>
      </x:c>
      <x:c r="G41" s="40" t="n">
        <x:f>IFERROR(F41/F38-1,"")</x:f>
        <x:v>0.3407722477487416</x:v>
      </x:c>
      <x:c r="H41" s="38" t="n">
        <x:v>80775.4716591947</x:v>
      </x:c>
      <x:c r="I41" s="40" t="n">
        <x:f>IFERROR(H41/H40-1,"")</x:f>
        <x:v>0.15451591770747064</x:v>
      </x:c>
      <x:c r="J41" s="40" t="n">
        <x:f>IFERROR(H41/H38-1,"")</x:f>
        <x:v>0.15451591770747064</x:v>
      </x:c>
      <x:c r="K41" s="40" t="n">
        <x:f>IFERROR(H41/H35-1,"")</x:f>
        <x:v>0.2584613445180117</x:v>
      </x:c>
      <x:c r="L41" s="40" t="n">
        <x:f>IFERROR(J41-J40,"")</x:f>
        <x:v>0.12536282137401744</x:v>
      </x:c>
      <x:c r="M41" s="40" t="n">
        <x:f>IFERROR(J41-D41,"")</x:f>
        <x:v>-0.29421011092312255</x:v>
      </x:c>
      <x:c r="N41" s="42" t="str">
        <x:f>IF(J41&lt;0,IF(D41&lt;0,"Down-cycle","Price up / earnings down"),IF(AND(J41&gt;0,L41&lt;0,M41&lt;-0.15),"Late-cycle warning",IF(AND(J41&gt;0,M41&gt;0),"Earnings-led expansion",IF(AND(J41&gt;0,D41&lt;0),"Potential dislocation",IF(AND(J41&gt;0,M41&lt;0),"Price ahead / rerating","Neutral")))))</x:f>
        <x:v>Price ahead / rerating</x:v>
      </x:c>
      <x:c r="O41" s="40" t="n">
        <x:v>0.0644821423248445</x:v>
      </x:c>
      <x:c r="P41" s="40" t="n">
        <x:v>0.9338235294117647</x:v>
      </x:c>
      <x:c r="Q41" s="40" t="n">
        <x:v>0.6307692307692307</x:v>
      </x:c>
      <x:c r="R41" s="40" t="n">
        <x:v>0.8309859154929577</x:v>
      </x:c>
      <x:c r="S41" s="40" t="n">
        <x:v>0.16901408450704225</x:v>
      </x:c>
      <x:c r="T41" s="40" t="n">
        <x:v>1</x:v>
      </x:c>
      <x:c r="U41" s="40" t="n">
        <x:v>0.8661638914305365</x:v>
      </x:c>
      <x:c r="V41" s="40" t="n">
        <x:v>0.7183333598878339</x:v>
      </x:c>
      <x:c r="W41" s="64" t="str">
        <x:v>Stage 7 – Earnings Acceleration</x:v>
      </x:c>
      <x:c r="X41" s="64" t="str">
        <x:v>Rev3M +15.5%; Accel3M +6.4ppt; Stock3M +44.9%; EV/EBITDA 5.7x (83th pct); PeakRatio36M 87%; Multiple3M +34.1%; Earnings-Price Gap -29.4%; CycleHeat 72%. EBITDA revision strength is in a high historical percentile and revision momentum is still accelerating.</x:v>
      </x:c>
    </x:row>
    <x:row r="42">
      <x:c r="A42" s="32" t="n">
        <x:v>44255</x:v>
      </x:c>
      <x:c r="B42" s="33" t="n">
        <x:v>0.6189</x:v>
      </x:c>
      <x:c r="C42" s="40" t="n">
        <x:f>IFERROR((1+B42)/(1+B41)-1,"")</x:f>
        <x:v>0.00609036107140648</x:v>
      </x:c>
      <x:c r="D42" s="40" t="n">
        <x:f>IFERROR((1+B42)/(1+B39)-1,"")</x:f>
        <x:v>0.23684009473603784</x:v>
      </x:c>
      <x:c r="E42" s="40" t="n">
        <x:f>IFERROR((1+B42)/(1+B36)-1,"")</x:f>
        <x:v>0.5276965178824193</x:v>
      </x:c>
      <x:c r="F42" s="36" t="n">
        <x:v>5.750324465455248</x:v>
      </x:c>
      <x:c r="G42" s="40" t="n">
        <x:f>IFERROR(F42/F39-1,"")</x:f>
        <x:v>0.11373911826606076</x:v>
      </x:c>
      <x:c r="H42" s="38" t="n">
        <x:v>79623.17845954049</x:v>
      </x:c>
      <x:c r="I42" s="40" t="n">
        <x:f>IFERROR(H42/H41-1,"")</x:f>
        <x:v>-0.014265384973744744</x:v>
      </x:c>
      <x:c r="J42" s="40" t="n">
        <x:f>IFERROR(H42/H39-1,"")</x:f>
        <x:v>0.12181163504307357</x:v>
      </x:c>
      <x:c r="K42" s="40" t="n">
        <x:f>IFERROR(H42/H36-1,"")</x:f>
        <x:v>0.2584613445180117</x:v>
      </x:c>
      <x:c r="L42" s="40" t="n">
        <x:f>IFERROR(J42-J41,"")</x:f>
        <x:v>-0.032704282664397066</x:v>
      </x:c>
      <x:c r="M42" s="40" t="n">
        <x:f>IFERROR(J42-D42,"")</x:f>
        <x:v>-0.11502845969296427</x:v>
      </x:c>
      <x:c r="N42" s="42" t="str">
        <x:f>IF(J42&lt;0,IF(D42&lt;0,"Down-cycle","Price up / earnings down"),IF(AND(J42&gt;0,L42&lt;0,M42&lt;-0.15),"Late-cycle warning",IF(AND(J42&gt;0,M42&gt;0),"Earnings-led expansion",IF(AND(J42&gt;0,D42&lt;0),"Potential dislocation",IF(AND(J42&gt;0,M42&lt;0),"Price ahead / rerating","Neutral")))))</x:f>
        <x:v>Price ahead / rerating</x:v>
      </x:c>
      <x:c r="O42" s="40" t="n">
        <x:v>2.220446049250313e-15</x:v>
      </x:c>
      <x:c r="P42" s="40" t="n">
        <x:v>0.8970588235294118</x:v>
      </x:c>
      <x:c r="Q42" s="40" t="n">
        <x:v>0.46153846153846156</x:v>
      </x:c>
      <x:c r="R42" s="40" t="n">
        <x:v>0.8450704225352113</x:v>
      </x:c>
      <x:c r="S42" s="40" t="n">
        <x:v>0.15492957746478875</x:v>
      </x:c>
      <x:c r="T42" s="40" t="n">
        <x:v>0.9705882352941176</x:v>
      </x:c>
      <x:c r="U42" s="40" t="n">
        <x:v>0.8538077300689231</x:v>
      </x:c>
      <x:c r="V42" s="40" t="n">
        <x:v>0.6544587661716909</x:v>
      </x:c>
      <x:c r="W42" s="64" t="str">
        <x:v>Stage 7 – Earnings Acceleration</x:v>
      </x:c>
      <x:c r="X42" s="64" t="str">
        <x:v>Rev3M +12.2%; Accel3M +0.0ppt; Stock3M +23.7%; EV/EBITDA 5.8x (85th pct); PeakRatio36M 85%; Multiple3M +11.4%; Earnings-Price Gap -11.5%; CycleHeat 65%. EBITDA revision strength is in a high historical percentile and revision momentum is still accelerating.</x:v>
      </x:c>
    </x:row>
    <x:row r="43">
      <x:c r="A43" s="32" t="n">
        <x:v>44286</x:v>
      </x:c>
      <x:c r="B43" s="33" t="n">
        <x:v>0.5973</x:v>
      </x:c>
      <x:c r="C43" s="40" t="n">
        <x:f>IFERROR((1+B43)/(1+B42)-1,"")</x:f>
        <x:v>-0.013342392982889528</x:v>
      </x:c>
      <x:c r="D43" s="40" t="n">
        <x:f>IFERROR((1+B43)/(1+B40)-1,"")</x:f>
        <x:v>0.0049072035231205735</x:v>
      </x:c>
      <x:c r="E43" s="40" t="n">
        <x:f>IFERROR((1+B43)/(1+B37)-1,"")</x:f>
        <x:v>0.3985640486822519</x:v>
      </x:c>
      <x:c r="F43" s="36" t="n">
        <x:v>5.767556951579276</x:v>
      </x:c>
      <x:c r="G43" s="40" t="n">
        <x:f>IFERROR(F43/F40-1,"")</x:f>
        <x:v>-0.1337923101286822</x:v>
      </x:c>
      <x:c r="H43" s="38" t="n">
        <x:v>80775.4716591947</x:v>
      </x:c>
      <x:c r="I43" s="40" t="n">
        <x:f>IFERROR(H43/H42-1,"")</x:f>
        <x:v>0.014471831217335085</x:v>
      </x:c>
      <x:c r="J43" s="40" t="n">
        <x:f>IFERROR(H43/H40-1,"")</x:f>
        <x:v>0.15451591770747064</x:v>
      </x:c>
      <x:c r="K43" s="40" t="n">
        <x:f>IFERROR(H43/H37-1,"")</x:f>
        <x:v>0.18817363147490163</x:v>
      </x:c>
      <x:c r="L43" s="40" t="n">
        <x:f>IFERROR(J43-J42,"")</x:f>
        <x:v>0.032704282664397066</x:v>
      </x:c>
      <x:c r="M43" s="40" t="n">
        <x:f>IFERROR(J43-D43,"")</x:f>
        <x:v>0.14960871418435007</x:v>
      </x:c>
      <x:c r="N43" s="42" t="str">
        <x:f>IF(J43&lt;0,IF(D43&lt;0,"Down-cycle","Price up / earnings down"),IF(AND(J43&gt;0,L43&lt;0,M43&lt;-0.15),"Late-cycle warning",IF(AND(J43&gt;0,M43&gt;0),"Earnings-led expansion",IF(AND(J43&gt;0,D43&lt;0),"Potential dislocation",IF(AND(J43&gt;0,M43&lt;0),"Price ahead / rerating","Neutral")))))</x:f>
        <x:v>Earnings-led expansion</x:v>
      </x:c>
      <x:c r="O43" s="40" t="n">
        <x:v>0.12536282137401744</x:v>
      </x:c>
      <x:c r="P43" s="40" t="n">
        <x:v>0.9338235294117647</x:v>
      </x:c>
      <x:c r="Q43" s="40" t="n">
        <x:v>0.8</x:v>
      </x:c>
      <x:c r="R43" s="40" t="n">
        <x:v>0.8591549295774648</x:v>
      </x:c>
      <x:c r="S43" s="40" t="n">
        <x:v>0.14084507042253525</x:v>
      </x:c>
      <x:c r="T43" s="40" t="n">
        <x:v>0.5</x:v>
      </x:c>
      <x:c r="U43" s="40" t="n">
        <x:v>0.8661638914305365</x:v>
      </x:c>
      <x:c r="V43" s="40" t="n">
        <x:v>0.6550072493786246</x:v>
      </x:c>
      <x:c r="W43" s="64" t="str">
        <x:v>Stage 7 – Earnings Acceleration</x:v>
      </x:c>
      <x:c r="X43" s="64" t="str">
        <x:v>Rev3M +15.5%; Accel3M +12.5ppt; Stock3M +0.5%; EV/EBITDA 5.8x (86th pct); PeakRatio36M 87%; Multiple3M -13.4%; Earnings-Price Gap +15.0%; CycleHeat 66%. EBITDA revision strength is in a high historical percentile and revision momentum is still accelerating.</x:v>
      </x:c>
    </x:row>
    <x:row r="44">
      <x:c r="A44" s="32" t="n">
        <x:v>44316</x:v>
      </x:c>
      <x:c r="B44" s="33" t="n">
        <x:v>0.5993</x:v>
      </x:c>
      <x:c r="C44" s="40" t="n">
        <x:f>IFERROR((1+B44)/(1+B43)-1,"")</x:f>
        <x:v>0.0012521129405871356</x:v>
      </x:c>
      <x:c r="D44" s="40" t="n">
        <x:f>IFERROR((1+B44)/(1+B41)-1,"")</x:f>
        <x:v>-0.006090361071406369</x:v>
      </x:c>
      <x:c r="E44" s="40" t="n">
        <x:f>IFERROR((1+B44)/(1+B38)-1,"")</x:f>
        <x:v>0.43990276402268824</x:v>
      </x:c>
      <x:c r="F44" s="36" t="n">
        <x:v>5.319910013937321</x:v>
      </x:c>
      <x:c r="G44" s="40" t="n">
        <x:f>IFERROR(F44/F41-1,"")</x:f>
        <x:v>-0.06650809030264937</x:v>
      </x:c>
      <x:c r="H44" s="38" t="n">
        <x:v>83729.69011273245</x:v>
      </x:c>
      <x:c r="I44" s="40" t="n">
        <x:f>IFERROR(H44/H43-1,"")</x:f>
        <x:v>0.0365732120513278</x:v>
      </x:c>
      <x:c r="J44" s="40" t="n">
        <x:f>IFERROR(H44/H41-1,"")</x:f>
        <x:v>0.0365732120513278</x:v>
      </x:c>
      <x:c r="K44" s="40" t="n">
        <x:f>IFERROR(H44/H38-1,"")</x:f>
        <x:v>0.19674027318241927</x:v>
      </x:c>
      <x:c r="L44" s="40" t="n">
        <x:f>IFERROR(J44-J43,"")</x:f>
        <x:v>-0.11794270565614284</x:v>
      </x:c>
      <x:c r="M44" s="40" t="n">
        <x:f>IFERROR(J44-D44,"")</x:f>
        <x:v>0.042663573122734166</x:v>
      </x:c>
      <x:c r="N44" s="42" t="str">
        <x:f>IF(J44&lt;0,IF(D44&lt;0,"Down-cycle","Price up / earnings down"),IF(AND(J44&gt;0,L44&lt;0,M44&lt;-0.15),"Late-cycle warning",IF(AND(J44&gt;0,M44&gt;0),"Earnings-led expansion",IF(AND(J44&gt;0,D44&lt;0),"Potential dislocation",IF(AND(J44&gt;0,M44&lt;0),"Price ahead / rerating","Neutral")))))</x:f>
        <x:v>Earnings-led expansion</x:v>
      </x:c>
      <x:c r="O44" s="40" t="n">
        <x:v>-0.11794270565614284</x:v>
      </x:c>
      <x:c r="P44" s="40" t="n">
        <x:v>0.6102941176470589</x:v>
      </x:c>
      <x:c r="Q44" s="40" t="n">
        <x:v>0.16923076923076924</x:v>
      </x:c>
      <x:c r="R44" s="40" t="n">
        <x:v>0.7816901408450704</x:v>
      </x:c>
      <x:c r="S44" s="40" t="n">
        <x:v>0.21830985915492962</x:v>
      </x:c>
      <x:c r="T44" s="40" t="n">
        <x:v>0.47058823529411764</x:v>
      </x:c>
      <x:c r="U44" s="40" t="n">
        <x:v>0.8978422871030287</x:v>
      </x:c>
      <x:c r="V44" s="40" t="n">
        <x:v>0.39369025237397237</x:v>
      </x:c>
      <x:c r="W44" s="64" t="str">
        <x:v>Stage 10 – Price-Led Roll-over</x:v>
      </x:c>
      <x:c r="X44" s="64" t="str">
        <x:v>Rev3M +3.7%; Accel3M -11.8ppt; Stock3M -0.6%; EV/EBITDA 5.3x (78th pct); PeakRatio36M 90%; Multiple3M -6.7%; Earnings-Price Gap +4.3%; CycleHeat 39%. The stock has turned negative before forward EBITDA revisions have turned negative; price may be leading a future earnings slowdown.</x:v>
      </x:c>
    </x:row>
    <x:row r="45">
      <x:c r="A45" s="32" t="n">
        <x:v>44347</x:v>
      </x:c>
      <x:c r="B45" s="33" t="n">
        <x:v>0.5797</x:v>
      </x:c>
      <x:c r="C45" s="40" t="n">
        <x:f>IFERROR((1+B45)/(1+B44)-1,"")</x:f>
        <x:v>-0.012255361720752922</x:v>
      </x:c>
      <x:c r="D45" s="40" t="n">
        <x:f>IFERROR((1+B45)/(1+B42)-1,"")</x:f>
        <x:v>-0.024213972450429333</x:v>
      </x:c>
      <x:c r="E45" s="40" t="n">
        <x:f>IFERROR((1+B45)/(1+B39)-1,"")</x:f>
        <x:v>0.20689128275651303</x:v>
      </x:c>
      <x:c r="F45" s="36" t="n">
        <x:v>5.056058501227973</x:v>
      </x:c>
      <x:c r="G45" s="40" t="n">
        <x:f>IFERROR(F45/F42-1,"")</x:f>
        <x:v>-0.12073509388870807</x:v>
      </x:c>
      <x:c r="H45" s="38" t="n">
        <x:v>87417.71722428956</x:v>
      </x:c>
      <x:c r="I45" s="40" t="n">
        <x:f>IFERROR(H45/H44-1,"")</x:f>
        <x:v>0.04404682624038858</x:v>
      </x:c>
      <x:c r="J45" s="40" t="n">
        <x:f>IFERROR(H45/H42-1,"")</x:f>
        <x:v>0.09789283617596056</x:v>
      </x:c>
      <x:c r="K45" s="40" t="n">
        <x:f>IFERROR(H45/H39-1,"")</x:f>
        <x:v>0.23162895765263158</x:v>
      </x:c>
      <x:c r="L45" s="40" t="n">
        <x:f>IFERROR(J45-J44,"")</x:f>
        <x:v>0.061319624124632766</x:v>
      </x:c>
      <x:c r="M45" s="40" t="n">
        <x:f>IFERROR(J45-D45,"")</x:f>
        <x:v>0.1221068086263899</x:v>
      </x:c>
      <x:c r="N45" s="42" t="str">
        <x:f>IF(J45&lt;0,IF(D45&lt;0,"Down-cycle","Price up / earnings down"),IF(AND(J45&gt;0,L45&lt;0,M45&lt;-0.15),"Late-cycle warning",IF(AND(J45&gt;0,M45&gt;0),"Earnings-led expansion",IF(AND(J45&gt;0,D45&lt;0),"Potential dislocation",IF(AND(J45&gt;0,M45&lt;0),"Price ahead / rerating","Neutral")))))</x:f>
        <x:v>Earnings-led expansion</x:v>
      </x:c>
      <x:c r="O45" s="40" t="n">
        <x:v>-0.02391879886711301</x:v>
      </x:c>
      <x:c r="P45" s="40" t="n">
        <x:v>0.8235294117647058</x:v>
      </x:c>
      <x:c r="Q45" s="40" t="n">
        <x:v>0.36923076923076925</x:v>
      </x:c>
      <x:c r="R45" s="40" t="n">
        <x:v>0.7464788732394366</x:v>
      </x:c>
      <x:c r="S45" s="40" t="n">
        <x:v>0.2535211267605634</x:v>
      </x:c>
      <x:c r="T45" s="40" t="n">
        <x:v>0.39705882352941174</x:v>
      </x:c>
      <x:c r="U45" s="40" t="n">
        <x:v>0.9373893903143289</x:v>
      </x:c>
      <x:c r="V45" s="40" t="n">
        <x:v>0.5106589764833344</x:v>
      </x:c>
      <x:c r="W45" s="64" t="str">
        <x:v>Stage 10 – Price-Led Roll-over</x:v>
      </x:c>
      <x:c r="X45" s="64" t="str">
        <x:v>Rev3M +9.8%; Accel3M -2.4ppt; Stock3M -2.4%; EV/EBITDA 5.1x (75th pct); PeakRatio36M 94%; Multiple3M -12.1%; Earnings-Price Gap +12.2%; CycleHeat 51%. The stock has turned negative before forward EBITDA revisions have turned negative; price may be leading a future earnings slowdown.</x:v>
      </x:c>
    </x:row>
    <x:row r="46">
      <x:c r="A46" s="32" t="n">
        <x:v>44377</x:v>
      </x:c>
      <x:c r="B46" s="33" t="n">
        <x:v>0.5836</x:v>
      </x:c>
      <x:c r="C46" s="40" t="n">
        <x:f>IFERROR((1+B46)/(1+B45)-1,"")</x:f>
        <x:v>0.0024688231942775474</x:v>
      </x:c>
      <x:c r="D46" s="40" t="n">
        <x:f>IFERROR((1+B46)/(1+B43)-1,"")</x:f>
        <x:v>-0.008576973643022678</x:v>
      </x:c>
      <x:c r="E46" s="40" t="n">
        <x:f>IFERROR((1+B46)/(1+B40)-1,"")</x:f>
        <x:v>-0.003711859075180901</x:v>
      </x:c>
      <x:c r="F46" s="36" t="n">
        <x:v>4.9660929583284075</x:v>
      </x:c>
      <x:c r="G46" s="40" t="n">
        <x:f>IFERROR(F46/F43-1,"")</x:f>
        <x:v>-0.1389607419535599</x:v>
      </x:c>
      <x:c r="H46" s="38" t="n">
        <x:v>88047.99233098418</x:v>
      </x:c>
      <x:c r="I46" s="40" t="n">
        <x:f>IFERROR(H46/H45-1,"")</x:f>
        <x:v>0.007209924105859633</x:v>
      </x:c>
      <x:c r="J46" s="40" t="n">
        <x:f>IFERROR(H46/H43-1,"")</x:f>
        <x:v>0.09003377538262436</x:v>
      </x:c>
      <x:c r="K46" s="40" t="n">
        <x:f>IFERROR(H46/H40-1,"")</x:f>
        <x:v>0.2584613445180095</x:v>
      </x:c>
      <x:c r="L46" s="40" t="n">
        <x:f>IFERROR(J46-J45,"")</x:f>
        <x:v>-0.007859060793336203</x:v>
      </x:c>
      <x:c r="M46" s="40" t="n">
        <x:f>IFERROR(J46-D46,"")</x:f>
        <x:v>0.09861074902564704</x:v>
      </x:c>
      <x:c r="N46" s="42" t="str">
        <x:f>IF(J46&lt;0,IF(D46&lt;0,"Down-cycle","Price up / earnings down"),IF(AND(J46&gt;0,L46&lt;0,M46&lt;-0.15),"Late-cycle warning",IF(AND(J46&gt;0,M46&gt;0),"Earnings-led expansion",IF(AND(J46&gt;0,D46&lt;0),"Potential dislocation",IF(AND(J46&gt;0,M46&lt;0),"Price ahead / rerating","Neutral")))))</x:f>
        <x:v>Earnings-led expansion</x:v>
      </x:c>
      <x:c r="O46" s="40" t="n">
        <x:v>-0.06448214232484628</x:v>
      </x:c>
      <x:c r="P46" s="40" t="n">
        <x:v>0.7720588235294118</x:v>
      </x:c>
      <x:c r="Q46" s="40" t="n">
        <x:v>0.27692307692307694</x:v>
      </x:c>
      <x:c r="R46" s="40" t="n">
        <x:v>0.7183098591549296</x:v>
      </x:c>
      <x:c r="S46" s="40" t="n">
        <x:v>0.2816901408450704</x:v>
      </x:c>
      <x:c r="T46" s="40" t="n">
        <x:v>0.4411764705882353</x:v>
      </x:c>
      <x:c r="U46" s="40" t="n">
        <x:v>0.9441478966761332</x:v>
      </x:c>
      <x:c r="V46" s="40" t="n">
        <x:v>0.4840246797527245</x:v>
      </x:c>
      <x:c r="W46" s="64" t="str">
        <x:v>Stage 10 – Price-Led Roll-over</x:v>
      </x:c>
      <x:c r="X46" s="64" t="str">
        <x:v>Rev3M +9.0%; Accel3M -6.4ppt; Stock3M -0.9%; EV/EBITDA 5.0x (72th pct); PeakRatio36M 94%; Multiple3M -13.9%; Earnings-Price Gap +9.9%; CycleHeat 48%. The stock has turned negative before forward EBITDA revisions have turned negative; price may be leading a future earnings slowdown.</x:v>
      </x:c>
    </x:row>
    <x:row r="47">
      <x:c r="A47" s="32" t="n">
        <x:v>44408</x:v>
      </x:c>
      <x:c r="B47" s="33" t="n">
        <x:v>0.5404</x:v>
      </x:c>
      <x:c r="C47" s="40" t="n">
        <x:f>IFERROR((1+B47)/(1+B46)-1,"")</x:f>
        <x:v>-0.027279616064662893</x:v>
      </x:c>
      <x:c r="D47" s="40" t="n">
        <x:f>IFERROR((1+B47)/(1+B44)-1,"")</x:f>
        <x:v>-0.03682861251797653</x:v>
      </x:c>
      <x:c r="E47" s="40" t="n">
        <x:f>IFERROR((1+B47)/(1+B41)-1,"")</x:f>
        <x:v>-0.0426946740413896</x:v>
      </x:c>
      <x:c r="F47" s="36" t="n">
        <x:v>4.526151384680697</x:v>
      </x:c>
      <x:c r="G47" s="40" t="n">
        <x:f>IFERROR(F47/F44-1,"")</x:f>
        <x:v>-0.14920527361874591</x:v>
      </x:c>
      <x:c r="H47" s="38" t="n">
        <x:v>89322.2080150234</x:v>
      </x:c>
      <x:c r="I47" s="40" t="n">
        <x:f>IFERROR(H47/H46-1,"")</x:f>
        <x:v>0.014471831217335085</x:v>
      </x:c>
      <x:c r="J47" s="40" t="n">
        <x:f>IFERROR(H47/H44-1,"")</x:f>
        <x:v>0.06679253075893699</x:v>
      </x:c>
      <x:c r="K47" s="40" t="n">
        <x:f>IFERROR(H47/H41-1,"")</x:f>
        <x:v>0.10580856020115625</x:v>
      </x:c>
      <x:c r="L47" s="40" t="n">
        <x:f>IFERROR(J47-J46,"")</x:f>
        <x:v>-0.023241244623687374</x:v>
      </x:c>
      <x:c r="M47" s="40" t="n">
        <x:f>IFERROR(J47-D47,"")</x:f>
        <x:v>0.10362114327691352</x:v>
      </x:c>
      <x:c r="N47" s="42" t="str">
        <x:f>IF(J47&lt;0,IF(D47&lt;0,"Down-cycle","Price up / earnings down"),IF(AND(J47&gt;0,L47&lt;0,M47&lt;-0.15),"Late-cycle warning",IF(AND(J47&gt;0,M47&gt;0),"Earnings-led expansion",IF(AND(J47&gt;0,D47&lt;0),"Potential dislocation",IF(AND(J47&gt;0,M47&lt;0),"Price ahead / rerating","Neutral")))))</x:f>
        <x:v>Earnings-led expansion</x:v>
      </x:c>
      <x:c r="O47" s="40" t="n">
        <x:v>0.03021931870760919</x:v>
      </x:c>
      <x:c r="P47" s="40" t="n">
        <x:v>0.6764705882352942</x:v>
      </x:c>
      <x:c r="Q47" s="40" t="n">
        <x:v>0.5076923076923077</x:v>
      </x:c>
      <x:c r="R47" s="40" t="n">
        <x:v>0.676056338028169</x:v>
      </x:c>
      <x:c r="S47" s="40" t="n">
        <x:v>0.323943661971831</x:v>
      </x:c>
      <x:c r="T47" s="40" t="n">
        <x:v>0.35294117647058826</x:v>
      </x:c>
      <x:c r="U47" s="40" t="n">
        <x:v>0.9578114456810322</x:v>
      </x:c>
      <x:c r="V47" s="40" t="n">
        <x:v>0.49906475049391374</x:v>
      </x:c>
      <x:c r="W47" s="64" t="str">
        <x:v>Stage 6 – Broad Recovery</x:v>
      </x:c>
      <x:c r="X47" s="64" t="str">
        <x:v>Rev3M +6.7%; Accel3M +3.0ppt; Stock3M -3.7%; EV/EBITDA 4.5x (68th pct); PeakRatio36M 96%; Multiple3M -14.9%; Earnings-Price Gap +10.4%; CycleHeat 50%. Forward EBITDA revisions are positive and non-decelerating, with earnings recovering toward normal cycle levels.</x:v>
      </x:c>
    </x:row>
    <x:row r="48">
      <x:c r="A48" s="32" t="n">
        <x:v>44439</x:v>
      </x:c>
      <x:c r="B48" s="33" t="n">
        <x:v>0.5051</x:v>
      </x:c>
      <x:c r="C48" s="40" t="n">
        <x:f>IFERROR((1+B48)/(1+B47)-1,"")</x:f>
        <x:v>-0.02291612568164103</x:v>
      </x:c>
      <x:c r="D48" s="40" t="n">
        <x:f>IFERROR((1+B48)/(1+B45)-1,"")</x:f>
        <x:v>-0.04722415648540845</x:v>
      </x:c>
      <x:c r="E48" s="40" t="n">
        <x:f>IFERROR((1+B48)/(1+B42)-1,"")</x:f>
        <x:v>-0.07029464451170542</x:v>
      </x:c>
      <x:c r="F48" s="36" t="n">
        <x:v>4.37959675420292</x:v>
      </x:c>
      <x:c r="G48" s="40" t="n">
        <x:f>IFERROR(F48/F45-1,"")</x:f>
        <x:v>-0.1337923101286822</x:v>
      </x:c>
      <x:c r="H48" s="38" t="n">
        <x:v>94606.1610998464</x:v>
      </x:c>
      <x:c r="I48" s="40" t="n">
        <x:f>IFERROR(H48/H47-1,"")</x:f>
        <x:v>0.059156095692733945</x:v>
      </x:c>
      <x:c r="J48" s="40" t="n">
        <x:f>IFERROR(H48/H45-1,"")</x:f>
        <x:v>0.08223097220799414</x:v>
      </x:c>
      <x:c r="K48" s="40" t="n">
        <x:f>IFERROR(H48/H42-1,"")</x:f>
        <x:v>0.18817363147490185</x:v>
      </x:c>
      <x:c r="L48" s="40" t="n">
        <x:f>IFERROR(J48-J47,"")</x:f>
        <x:v>0.01543844144905715</x:v>
      </x:c>
      <x:c r="M48" s="40" t="n">
        <x:f>IFERROR(J48-D48,"")</x:f>
        <x:v>0.1294551286934026</x:v>
      </x:c>
      <x:c r="N48" s="42" t="str">
        <x:f>IF(J48&lt;0,IF(D48&lt;0,"Down-cycle","Price up / earnings down"),IF(AND(J48&gt;0,L48&lt;0,M48&lt;-0.15),"Late-cycle warning",IF(AND(J48&gt;0,M48&gt;0),"Earnings-led expansion",IF(AND(J48&gt;0,D48&lt;0),"Potential dislocation",IF(AND(J48&gt;0,M48&lt;0),"Price ahead / rerating","Neutral")))))</x:f>
        <x:v>Earnings-led expansion</x:v>
      </x:c>
      <x:c r="O48" s="40" t="n">
        <x:v>-0.015661863967966427</x:v>
      </x:c>
      <x:c r="P48" s="40" t="n">
        <x:v>0.75</x:v>
      </x:c>
      <x:c r="Q48" s="40" t="n">
        <x:v>0.38461538461538464</x:v>
      </x:c>
      <x:c r="R48" s="40" t="n">
        <x:v>0.5352112676056338</x:v>
      </x:c>
      <x:c r="S48" s="40" t="n">
        <x:v>0.46478873239436624</x:v>
      </x:c>
      <x:c r="T48" s="40" t="n">
        <x:v>0.3088235294117647</x:v>
      </x:c>
      <x:c r="U48" s="40" t="n">
        <x:v>1</x:v>
      </x:c>
      <x:c r="V48" s="40" t="n">
        <x:v>0.5133762985150723</x:v>
      </x:c>
      <x:c r="W48" s="64" t="str">
        <x:v>Stage 10 – Price-Led Roll-over</x:v>
      </x:c>
      <x:c r="X48" s="64" t="str">
        <x:v>Rev3M +8.2%; Accel3M -1.6ppt; Stock3M -4.7%; EV/EBITDA 4.4x (54th pct); PeakRatio36M 100%; Multiple3M -13.4%; Earnings-Price Gap +12.9%; CycleHeat 51%. The stock has turned negative before forward EBITDA revisions have turned negative; price may be leading a future earnings slowdown.</x:v>
      </x:c>
    </x:row>
    <x:row r="49">
      <x:c r="A49" s="32" t="n">
        <x:v>44469</x:v>
      </x:c>
      <x:c r="B49" s="33" t="n">
        <x:v>0.4541</x:v>
      </x:c>
      <x:c r="C49" s="40" t="n">
        <x:f>IFERROR((1+B49)/(1+B48)-1,"")</x:f>
        <x:v>-0.03388479170819225</x:v>
      </x:c>
      <x:c r="D49" s="40" t="n">
        <x:f>IFERROR((1+B49)/(1+B46)-1,"")</x:f>
        <x:v>-0.08177570093457953</x:v>
      </x:c>
      <x:c r="E49" s="40" t="n">
        <x:f>IFERROR((1+B49)/(1+B43)-1,"")</x:f>
        <x:v>-0.0896512865460466</x:v>
      </x:c>
      <x:c r="F49" s="36" t="n">
        <x:v>4.39272146407782</x:v>
      </x:c>
      <x:c r="G49" s="40" t="n">
        <x:f>IFERROR(F49/F46-1,"")</x:f>
        <x:v>-0.11545726168677783</x:v>
      </x:c>
      <x:c r="H49" s="38" t="n">
        <x:v>94606.1610998464</x:v>
      </x:c>
      <x:c r="I49" s="40" t="n">
        <x:f>IFERROR(H49/H48-1,"")</x:f>
        <x:v>0</x:v>
      </x:c>
      <x:c r="J49" s="40" t="n">
        <x:f>IFERROR(H49/H46-1,"")</x:f>
        <x:v>0.07448402394241072</x:v>
      </x:c>
      <x:c r="K49" s="40" t="n">
        <x:f>IFERROR(H49/H43-1,"")</x:f>
        <x:v>0.17122387720625998</x:v>
      </x:c>
      <x:c r="L49" s="40" t="n">
        <x:f>IFERROR(J49-J48,"")</x:f>
        <x:v>-0.00774694826558342</x:v>
      </x:c>
      <x:c r="M49" s="40" t="n">
        <x:f>IFERROR(J49-D49,"")</x:f>
        <x:v>0.15625972487699025</x:v>
      </x:c>
      <x:c r="N49" s="42" t="str">
        <x:f>IF(J49&lt;0,IF(D49&lt;0,"Down-cycle","Price up / earnings down"),IF(AND(J49&gt;0,L49&lt;0,M49&lt;-0.15),"Late-cycle warning",IF(AND(J49&gt;0,M49&gt;0),"Earnings-led expansion",IF(AND(J49&gt;0,D49&lt;0),"Potential dislocation",IF(AND(J49&gt;0,M49&lt;0),"Price ahead / rerating","Neutral")))))</x:f>
        <x:v>Earnings-led expansion</x:v>
      </x:c>
      <x:c r="O49" s="40" t="n">
        <x:v>-0.015549751440213644</x:v>
      </x:c>
      <x:c r="P49" s="40" t="n">
        <x:v>0.7352941176470589</x:v>
      </x:c>
      <x:c r="Q49" s="40" t="n">
        <x:v>0.4</x:v>
      </x:c>
      <x:c r="R49" s="40" t="n">
        <x:v>0.5492957746478874</x:v>
      </x:c>
      <x:c r="S49" s="40" t="n">
        <x:v>0.45070422535211263</x:v>
      </x:c>
      <x:c r="T49" s="40" t="n">
        <x:v>0.16176470588235295</x:v>
      </x:c>
      <x:c r="U49" s="40" t="n">
        <x:v>1</x:v>
      </x:c>
      <x:c r="V49" s="40" t="n">
        <x:v>0.47984672742336376</x:v>
      </x:c>
      <x:c r="W49" s="64" t="str">
        <x:v>Stage 10 – Price-Led Roll-over</x:v>
      </x:c>
      <x:c r="X49" s="64" t="str">
        <x:v>Rev3M +7.4%; Accel3M -1.6ppt; Stock3M -8.2%; EV/EBITDA 4.4x (55th pct); PeakRatio36M 100%; Multiple3M -11.5%; Earnings-Price Gap +15.6%; CycleHeat 48%. The stock has turned negative before forward EBITDA revisions have turned negative; price may be leading a future earnings slowdown.</x:v>
      </x:c>
    </x:row>
    <x:row r="50">
      <x:c r="A50" s="32" t="n">
        <x:v>44500</x:v>
      </x:c>
      <x:c r="B50" s="33" t="n">
        <x:v>0.3697</x:v>
      </x:c>
      <x:c r="C50" s="40" t="n">
        <x:f>IFERROR((1+B50)/(1+B49)-1,"")</x:f>
        <x:v>-0.058042775600027574</x:v>
      </x:c>
      <x:c r="D50" s="40" t="n">
        <x:f>IFERROR((1+B50)/(1+B47)-1,"")</x:f>
        <x:v>-0.11081537263048569</x:v>
      </x:c>
      <x:c r="E50" s="40" t="n">
        <x:f>IFERROR((1+B50)/(1+B44)-1,"")</x:f>
        <x:v>-0.14356280872881888</x:v>
      </x:c>
      <x:c r="F50" s="36" t="n">
        <x:v>4.1748557106776145</x:v>
      </x:c>
      <x:c r="G50" s="40" t="n">
        <x:f>IFERROR(F50/F47-1,"")</x:f>
        <x:v>-0.07761465407279233</x:v>
      </x:c>
      <x:c r="H50" s="38" t="n">
        <x:v>90614.8639333765</x:v>
      </x:c>
      <x:c r="I50" s="40" t="n">
        <x:f>IFERROR(H50/H49-1,"")</x:f>
        <x:v>-0.04218855431896795</x:v>
      </x:c>
      <x:c r="J50" s="40" t="n">
        <x:f>IFERROR(H50/H47-1,"")</x:f>
        <x:v>0.014471831217335085</x:v>
      </x:c>
      <x:c r="K50" s="40" t="n">
        <x:f>IFERROR(H50/H44-1,"")</x:f>
        <x:v>0.08223097220799391</x:v>
      </x:c>
      <x:c r="L50" s="40" t="n">
        <x:f>IFERROR(J50-J49,"")</x:f>
        <x:v>-0.06001219272507563</x:v>
      </x:c>
      <x:c r="M50" s="40" t="n">
        <x:f>IFERROR(J50-D50,"")</x:f>
        <x:v>0.12528720384782077</x:v>
      </x:c>
      <x:c r="N50" s="42" t="str">
        <x:f>IF(J50&lt;0,IF(D50&lt;0,"Down-cycle","Price up / earnings down"),IF(AND(J50&gt;0,L50&lt;0,M50&lt;-0.15),"Late-cycle warning",IF(AND(J50&gt;0,M50&gt;0),"Earnings-led expansion",IF(AND(J50&gt;0,D50&lt;0),"Potential dislocation",IF(AND(J50&gt;0,M50&lt;0),"Price ahead / rerating","Neutral")))))</x:f>
        <x:v>Earnings-led expansion</x:v>
      </x:c>
      <x:c r="O50" s="40" t="n">
        <x:v>-0.0523206995416019</x:v>
      </x:c>
      <x:c r="P50" s="40" t="n">
        <x:v>0.5</x:v>
      </x:c>
      <x:c r="Q50" s="40" t="n">
        <x:v>0.3230769230769231</x:v>
      </x:c>
      <x:c r="R50" s="40" t="n">
        <x:v>0.45774647887323944</x:v>
      </x:c>
      <x:c r="S50" s="40" t="n">
        <x:v>0.5422535211267605</x:v>
      </x:c>
      <x:c r="T50" s="40" t="n">
        <x:v>0.11764705882352941</x:v>
      </x:c>
      <x:c r="U50" s="40" t="n">
        <x:v>0.957811445681032</x:v>
      </x:c>
      <x:c r="V50" s="40" t="n">
        <x:v>0.38774934675928874</x:v>
      </x:c>
      <x:c r="W50" s="64" t="str">
        <x:v>Stage 10 – Price-Led Roll-over</x:v>
      </x:c>
      <x:c r="X50" s="64" t="str">
        <x:v>Rev3M +1.4%; Accel3M -5.2ppt; Stock3M -11.1%; EV/EBITDA 4.2x (46th pct); PeakRatio36M 96%; Multiple3M -7.8%; Earnings-Price Gap +12.5%; CycleHeat 39%. The stock has turned negative before forward EBITDA revisions have turned negative; price may be leading a future earnings slowdown.</x:v>
      </x:c>
    </x:row>
    <x:row r="51">
      <x:c r="A51" s="32" t="n">
        <x:v>44530</x:v>
      </x:c>
      <x:c r="B51" s="33" t="n">
        <x:v>0.3991</x:v>
      </x:c>
      <x:c r="C51" s="40" t="n">
        <x:f>IFERROR((1+B51)/(1+B50)-1,"")</x:f>
        <x:v>0.02146455428195959</x:v>
      </x:c>
      <x:c r="D51" s="40" t="n">
        <x:f>IFERROR((1+B51)/(1+B48)-1,"")</x:f>
        <x:v>-0.07042721413859554</x:v>
      </x:c>
      <x:c r="E51" s="40" t="n">
        <x:f>IFERROR((1+B51)/(1+B45)-1,"")</x:f>
        <x:v>-0.11432550484269155</x:v>
      </x:c>
      <x:c r="F51" s="36" t="n">
        <x:v>4.405885505886449</x:v>
      </x:c>
      <x:c r="G51" s="40" t="n">
        <x:f>IFERROR(F51/F48-1,"")</x:f>
        <x:v>0.006002550727598477</x:v>
      </x:c>
      <x:c r="H51" s="38" t="n">
        <x:v>91926.2269500021</x:v>
      </x:c>
      <x:c r="I51" s="40" t="n">
        <x:f>IFERROR(H51/H50-1,"")</x:f>
        <x:v>0.014471831217335085</x:v>
      </x:c>
      <x:c r="J51" s="40" t="n">
        <x:f>IFERROR(H51/H48-1,"")</x:f>
        <x:v>-0.028327268739040345</x:v>
      </x:c>
      <x:c r="K51" s="40" t="n">
        <x:f>IFERROR(H51/H45-1,"")</x:f>
        <x:v>0.05157432462054534</x:v>
      </x:c>
      <x:c r="L51" s="40" t="n">
        <x:f>IFERROR(J51-J50,"")</x:f>
        <x:v>-0.04279909995637543</x:v>
      </x:c>
      <x:c r="M51" s="40" t="n">
        <x:f>IFERROR(J51-D51,"")</x:f>
        <x:v>0.042099945399555194</x:v>
      </x:c>
      <x:c r="N51" s="42" t="str">
        <x:f>IF(J51&lt;0,IF(D51&lt;0,"Down-cycle","Price up / earnings down"),IF(AND(J51&gt;0,L51&lt;0,M51&lt;-0.15),"Late-cycle warning",IF(AND(J51&gt;0,M51&gt;0),"Earnings-led expansion",IF(AND(J51&gt;0,D51&lt;0),"Potential dislocation",IF(AND(J51&gt;0,M51&lt;0),"Price ahead / rerating","Neutral")))))</x:f>
        <x:v>Down-cycle</x:v>
      </x:c>
      <x:c r="O51" s="40" t="n">
        <x:v>-0.11055824094703448</x:v>
      </x:c>
      <x:c r="P51" s="40" t="n">
        <x:v>0.36764705882352944</x:v>
      </x:c>
      <x:c r="Q51" s="40" t="n">
        <x:v>0.2</x:v>
      </x:c>
      <x:c r="R51" s="40" t="n">
        <x:v>0.5633802816901409</x:v>
      </x:c>
      <x:c r="S51" s="40" t="n">
        <x:v>0.43661971830985913</x:v>
      </x:c>
      <x:c r="T51" s="40" t="n">
        <x:v>0.19117647058823528</x:v>
      </x:c>
      <x:c r="U51" s="40" t="n">
        <x:v>0.9716727312609597</x:v>
      </x:c>
      <x:c r="V51" s="40" t="n">
        <x:v>0.3042357083678542</x:v>
      </x:c>
      <x:c r="W51" s="64" t="str">
        <x:v>Stage 11 – Earnings Peak / Roll-over</x:v>
      </x:c>
      <x:c r="X51" s="64" t="str">
        <x:v>Rev3M -2.8%; Accel3M -11.1ppt; Stock3M -7.0%; EV/EBITDA 4.4x (56th pct); PeakRatio36M 97%; Multiple3M +0.6%; Earnings-Price Gap +4.2%; CycleHeat 30%. Forward EBITDA revisions have stalled/turned negative, acceleration is negative, stock performance is negative, and earnings are still near peak.</x:v>
      </x:c>
    </x:row>
    <x:row r="52">
      <x:c r="A52" s="32" t="n">
        <x:v>44561</x:v>
      </x:c>
      <x:c r="B52" s="33" t="n">
        <x:v>0.5365</x:v>
      </x:c>
      <x:c r="C52" s="40" t="n">
        <x:f>IFERROR((1+B52)/(1+B51)-1,"")</x:f>
        <x:v>0.09820598956472004</x:v>
      </x:c>
      <x:c r="D52" s="40" t="n">
        <x:f>IFERROR((1+B52)/(1+B49)-1,"")</x:f>
        <x:v>0.05666735437727799</x:v>
      </x:c>
      <x:c r="E52" s="40" t="n">
        <x:f>IFERROR((1+B52)/(1+B46)-1,"")</x:f>
        <x:v>-0.02974235918161161</x:v>
      </x:c>
      <x:c r="F52" s="36" t="n">
        <x:v>4.677610178925119</x:v>
      </x:c>
      <x:c r="G52" s="40" t="n">
        <x:f>IFERROR(F52/F49-1,"")</x:f>
        <x:v>0.0648547186925057</x:v>
      </x:c>
      <x:c r="H52" s="38" t="n">
        <x:v>93256.56779086898</x:v>
      </x:c>
      <x:c r="I52" s="40" t="n">
        <x:f>IFERROR(H52/H51-1,"")</x:f>
        <x:v>0.014471831217335085</x:v>
      </x:c>
      <x:c r="J52" s="40" t="n">
        <x:f>IFERROR(H52/H49-1,"")</x:f>
        <x:v>-0.014265384973744744</x:v>
      </x:c>
      <x:c r="K52" s="40" t="n">
        <x:f>IFERROR(H52/H46-1,"")</x:f>
        <x:v>0.059156095692733945</x:v>
      </x:c>
      <x:c r="L52" s="40" t="n">
        <x:f>IFERROR(J52-J51,"")</x:f>
        <x:v>0.014061883765295602</x:v>
      </x:c>
      <x:c r="M52" s="40" t="n">
        <x:f>IFERROR(J52-D52,"")</x:f>
        <x:v>-0.07093273935102273</x:v>
      </x:c>
      <x:c r="N52" s="42" t="str">
        <x:f>IF(J52&lt;0,IF(D52&lt;0,"Down-cycle","Price up / earnings down"),IF(AND(J52&gt;0,L52&lt;0,M52&lt;-0.15),"Late-cycle warning",IF(AND(J52&gt;0,M52&gt;0),"Earnings-led expansion",IF(AND(J52&gt;0,D52&lt;0),"Potential dislocation",IF(AND(J52&gt;0,M52&lt;0),"Price ahead / rerating","Neutral")))))</x:f>
        <x:v>Price up / earnings down</x:v>
      </x:c>
      <x:c r="O52" s="40" t="n">
        <x:v>-0.08874940891615546</x:v>
      </x:c>
      <x:c r="P52" s="40" t="n">
        <x:v>0.4117647058823529</x:v>
      </x:c>
      <x:c r="Q52" s="40" t="n">
        <x:v>0.24615384615384617</x:v>
      </x:c>
      <x:c r="R52" s="40" t="n">
        <x:v>0.704225352112676</x:v>
      </x:c>
      <x:c r="S52" s="40" t="n">
        <x:v>0.295774647887324</x:v>
      </x:c>
      <x:c r="T52" s="40" t="n">
        <x:v>0.6323529411764706</x:v>
      </x:c>
      <x:c r="U52" s="40" t="n">
        <x:v>0.9857346150262553</x:v>
      </x:c>
      <x:c r="V52" s="40" t="n">
        <x:v>0.391281626410044</x:v>
      </x:c>
      <x:c r="W52" s="64" t="str">
        <x:v>Stage 13 – Mixed / Transition</x:v>
      </x:c>
      <x:c r="X52" s="64" t="str">
        <x:v>Rev3M -1.4%; Accel3M -8.9ppt; Stock3M +5.7%; EV/EBITDA 4.7x (70th pct); PeakRatio36M 99%; Multiple3M +6.5%; Earnings-Price Gap -7.1%; CycleHeat 39%. Signals do not fit one dominant state; treat as a transition and require confirmation from the next 1–3 monthly observations.</x:v>
      </x:c>
    </x:row>
    <x:row r="53">
      <x:c r="A53" s="32" t="n">
        <x:v>44592</x:v>
      </x:c>
      <x:c r="B53" s="33" t="n">
        <x:v>0.4384</x:v>
      </x:c>
      <x:c r="C53" s="40" t="n">
        <x:f>IFERROR((1+B53)/(1+B52)-1,"")</x:f>
        <x:v>-0.06384640416531062</x:v>
      </x:c>
      <x:c r="D53" s="40" t="n">
        <x:f>IFERROR((1+B53)/(1+B50)-1,"")</x:f>
        <x:v>0.050156968679272884</x:v>
      </x:c>
      <x:c r="E53" s="40" t="n">
        <x:f>IFERROR((1+B53)/(1+B47)-1,"")</x:f>
        <x:v>-0.0662165671254219</x:v>
      </x:c>
      <x:c r="F53" s="36" t="n">
        <x:v>4.003574339825645</x:v>
      </x:c>
      <x:c r="G53" s="40" t="n">
        <x:f>IFERROR(F53/F50-1,"")</x:f>
        <x:v>-0.041026895950894704</x:v>
      </x:c>
      <x:c r="H53" s="38" t="n">
        <x:v>97364.22362812822</x:v>
      </x:c>
      <x:c r="I53" s="40" t="n">
        <x:f>IFERROR(H53/H52-1,"")</x:f>
        <x:v>0.04404682624038658</x:v>
      </x:c>
      <x:c r="J53" s="40" t="n">
        <x:f>IFERROR(H53/H50-1,"")</x:f>
        <x:v>0.07448402394240872</x:v>
      </x:c>
      <x:c r="K53" s="40" t="n">
        <x:f>IFERROR(H53/H47-1,"")</x:f>
        <x:v>0.09003377538262614</x:v>
      </x:c>
      <x:c r="L53" s="40" t="n">
        <x:f>IFERROR(J53-J52,"")</x:f>
        <x:v>0.08874940891615346</x:v>
      </x:c>
      <x:c r="M53" s="40" t="n">
        <x:f>IFERROR(J53-D53,"")</x:f>
        <x:v>0.024327055263135833</x:v>
      </x:c>
      <x:c r="N53" s="42" t="str">
        <x:f>IF(J53&lt;0,IF(D53&lt;0,"Down-cycle","Price up / earnings down"),IF(AND(J53&gt;0,L53&lt;0,M53&lt;-0.15),"Late-cycle warning",IF(AND(J53&gt;0,M53&gt;0),"Earnings-led expansion",IF(AND(J53&gt;0,D53&lt;0),"Potential dislocation",IF(AND(J53&gt;0,M53&lt;0),"Price ahead / rerating","Neutral")))))</x:f>
        <x:v>Earnings-led expansion</x:v>
      </x:c>
      <x:c r="O53" s="40" t="n">
        <x:v>0.06001219272507363</x:v>
      </x:c>
      <x:c r="P53" s="40" t="n">
        <x:v>0.7058823529411765</x:v>
      </x:c>
      <x:c r="Q53" s="40" t="n">
        <x:v>0.5846153846153846</x:v>
      </x:c>
      <x:c r="R53" s="40" t="n">
        <x:v>0.4154929577464789</x:v>
      </x:c>
      <x:c r="S53" s="40" t="n">
        <x:v>0.5845070422535211</x:v>
      </x:c>
      <x:c r="T53" s="40" t="n">
        <x:v>0.6029411764705882</x:v>
      </x:c>
      <x:c r="U53" s="40" t="n">
        <x:v>1</x:v>
      </x:c>
      <x:c r="V53" s="40" t="n">
        <x:v>0.6307023134280798</x:v>
      </x:c>
      <x:c r="W53" s="64" t="str">
        <x:v>Stage 6 – Broad Recovery</x:v>
      </x:c>
      <x:c r="X53" s="64" t="str">
        <x:v>Rev3M +7.4%; Accel3M +6.0ppt; Stock3M +5.0%; EV/EBITDA 4.0x (42th pct); PeakRatio36M 100%; Multiple3M -4.1%; Earnings-Price Gap +2.4%; CycleHeat 63%. Forward EBITDA revisions are positive and non-decelerating, with earnings recovering toward normal cycle levels.</x:v>
      </x:c>
    </x:row>
    <x:row r="54">
      <x:c r="A54" s="32" t="n">
        <x:v>44620</x:v>
      </x:c>
      <x:c r="B54" s="33" t="n">
        <x:v>0.4148</x:v>
      </x:c>
      <x:c r="C54" s="40" t="n">
        <x:f>IFERROR((1+B54)/(1+B53)-1,"")</x:f>
        <x:v>-0.016407119021134675</x:v>
      </x:c>
      <x:c r="D54" s="40" t="n">
        <x:f>IFERROR((1+B54)/(1+B51)-1,"")</x:f>
        <x:v>0.011221499535415624</x:v>
      </x:c>
      <x:c r="E54" s="40" t="n">
        <x:f>IFERROR((1+B54)/(1+B48)-1,"")</x:f>
        <x:v>-0.059996013553916705</x:v>
      </x:c>
      <x:c r="F54" s="36" t="n">
        <x:v>3.9323362916634843</x:v>
      </x:c>
      <x:c r="G54" s="40" t="n">
        <x:f>IFERROR(F54/F51-1,"")</x:f>
        <x:v>-0.10748105314817713</x:v>
      </x:c>
      <x:c r="H54" s="38" t="n">
        <x:v>98773.26223908136</x:v>
      </x:c>
      <x:c r="I54" s="40" t="n">
        <x:f>IFERROR(H54/H53-1,"")</x:f>
        <x:v>0.014471831217335085</x:v>
      </x:c>
      <x:c r="J54" s="40" t="n">
        <x:f>IFERROR(H54/H51-1,"")</x:f>
        <x:v>0.07448402394240872</x:v>
      </x:c>
      <x:c r="K54" s="40" t="n">
        <x:f>IFERROR(H54/H48-1,"")</x:f>
        <x:v>0.04404682624038658</x:v>
      </x:c>
      <x:c r="L54" s="40" t="n">
        <x:f>IFERROR(J54-J53,"")</x:f>
        <x:v>0</x:v>
      </x:c>
      <x:c r="M54" s="40" t="n">
        <x:f>IFERROR(J54-D54,"")</x:f>
        <x:v>0.06326252440699309</x:v>
      </x:c>
      <x:c r="N54" s="42" t="str">
        <x:f>IF(J54&lt;0,IF(D54&lt;0,"Down-cycle","Price up / earnings down"),IF(AND(J54&gt;0,L54&lt;0,M54&lt;-0.15),"Late-cycle warning",IF(AND(J54&gt;0,M54&gt;0),"Earnings-led expansion",IF(AND(J54&gt;0,D54&lt;0),"Potential dislocation",IF(AND(J54&gt;0,M54&lt;0),"Price ahead / rerating","Neutral")))))</x:f>
        <x:v>Earnings-led expansion</x:v>
      </x:c>
      <x:c r="O54" s="40" t="n">
        <x:v>0.10281129268144906</x:v>
      </x:c>
      <x:c r="P54" s="40" t="n">
        <x:v>0.7058823529411765</x:v>
      </x:c>
      <x:c r="Q54" s="40" t="n">
        <x:v>0.7846153846153846</x:v>
      </x:c>
      <x:c r="R54" s="40" t="n">
        <x:v>0.36619718309859156</x:v>
      </x:c>
      <x:c r="S54" s="40" t="n">
        <x:v>0.6338028169014085</x:v>
      </x:c>
      <x:c r="T54" s="40" t="n">
        <x:v>0.5147058823529411</x:v>
      </x:c>
      <x:c r="U54" s="40" t="n">
        <x:v>1</x:v>
      </x:c>
      <x:c r="V54" s="40" t="n">
        <x:v>0.6729144095341278</x:v>
      </x:c>
      <x:c r="W54" s="64" t="str">
        <x:v>Stage 6 – Broad Recovery</x:v>
      </x:c>
      <x:c r="X54" s="64" t="str">
        <x:v>Rev3M +7.4%; Accel3M +10.3ppt; Stock3M +1.1%; EV/EBITDA 3.9x (37th pct); PeakRatio36M 100%; Multiple3M -10.7%; Earnings-Price Gap +6.3%; CycleHeat 67%. Forward EBITDA revisions are positive and non-decelerating, with earnings recovering toward normal cycle levels.</x:v>
      </x:c>
    </x:row>
    <x:row r="55">
      <x:c r="A55" s="32" t="n">
        <x:v>44651</x:v>
      </x:c>
      <x:c r="B55" s="33" t="n">
        <x:v>0.3658</x:v>
      </x:c>
      <x:c r="C55" s="40" t="n">
        <x:f>IFERROR((1+B55)/(1+B54)-1,"")</x:f>
        <x:v>-0.034633870511733056</x:v>
      </x:c>
      <x:c r="D55" s="40" t="n">
        <x:f>IFERROR((1+B55)/(1+B52)-1,"")</x:f>
        <x:v>-0.11109664822648868</x:v>
      </x:c>
      <x:c r="E55" s="40" t="n">
        <x:f>IFERROR((1+B55)/(1+B49)-1,"")</x:f>
        <x:v>-0.06072484698438885</x:v>
      </x:c>
      <x:c r="F55" s="36" t="n">
        <x:v>3.7373042560991507</x:v>
      </x:c>
      <x:c r="G55" s="40" t="n">
        <x:f>IFERROR(F55/F52-1,"")</x:f>
        <x:v>-0.2010227203332372</x:v>
      </x:c>
      <x:c r="H55" s="38" t="n">
        <x:v>100202.69221899092</x:v>
      </x:c>
      <x:c r="I55" s="40" t="n">
        <x:f>IFERROR(H55/H54-1,"")</x:f>
        <x:v>0.014471831217335085</x:v>
      </x:c>
      <x:c r="J55" s="40" t="n">
        <x:f>IFERROR(H55/H52-1,"")</x:f>
        <x:v>0.07448402394240872</x:v>
      </x:c>
      <x:c r="K55" s="40" t="n">
        <x:f>IFERROR(H55/H49-1,"")</x:f>
        <x:v>0.05915609569273195</x:v>
      </x:c>
      <x:c r="L55" s="40" t="n">
        <x:f>IFERROR(J55-J54,"")</x:f>
        <x:v>0</x:v>
      </x:c>
      <x:c r="M55" s="40" t="n">
        <x:f>IFERROR(J55-D55,"")</x:f>
        <x:v>0.1855806721688974</x:v>
      </x:c>
      <x:c r="N55" s="42" t="str">
        <x:f>IF(J55&lt;0,IF(D55&lt;0,"Down-cycle","Price up / earnings down"),IF(AND(J55&gt;0,L55&lt;0,M55&lt;-0.15),"Late-cycle warning",IF(AND(J55&gt;0,M55&gt;0),"Earnings-led expansion",IF(AND(J55&gt;0,D55&lt;0),"Potential dislocation",IF(AND(J55&gt;0,M55&lt;0),"Price ahead / rerating","Neutral")))))</x:f>
        <x:v>Earnings-led expansion</x:v>
      </x:c>
      <x:c r="O55" s="40" t="n">
        <x:v>0.08874940891615346</x:v>
      </x:c>
      <x:c r="P55" s="40" t="n">
        <x:v>0.7058823529411765</x:v>
      </x:c>
      <x:c r="Q55" s="40" t="n">
        <x:v>0.7230769230769231</x:v>
      </x:c>
      <x:c r="R55" s="40" t="n">
        <x:v>0.3380281690140845</x:v>
      </x:c>
      <x:c r="S55" s="40" t="n">
        <x:v>0.6619718309859155</x:v>
      </x:c>
      <x:c r="T55" s="40" t="n">
        <x:v>0.10294117647058823</x:v>
      </x:c>
      <x:c r="U55" s="40" t="n">
        <x:v>1</x:v>
      </x:c>
      <x:c r="V55" s="40" t="n">
        <x:v>0.5808106557899434</x:v>
      </x:c>
      <x:c r="W55" s="64" t="str">
        <x:v>Stage 6 – Broad Recovery</x:v>
      </x:c>
      <x:c r="X55" s="64" t="str">
        <x:v>Rev3M +7.4%; Accel3M +8.9ppt; Stock3M -11.1%; EV/EBITDA 3.7x (34th pct); PeakRatio36M 100%; Multiple3M -20.1%; Earnings-Price Gap +18.6%; CycleHeat 58%. Forward EBITDA revisions are positive and non-decelerating, with earnings recovering toward normal cycle levels.</x:v>
      </x:c>
    </x:row>
    <x:row r="56">
      <x:c r="A56" s="32" t="n">
        <x:v>44681</x:v>
      </x:c>
      <x:c r="B56" s="33" t="n">
        <x:v>0.3226</x:v>
      </x:c>
      <x:c r="C56" s="40" t="n">
        <x:f>IFERROR((1+B56)/(1+B55)-1,"")</x:f>
        <x:v>-0.031629814028408365</x:v>
      </x:c>
      <x:c r="D56" s="40" t="n">
        <x:f>IFERROR((1+B56)/(1+B53)-1,"")</x:f>
        <x:v>-0.08050611790878759</x:v>
      </x:c>
      <x:c r="E56" s="40" t="n">
        <x:f>IFERROR((1+B56)/(1+B50)-1,"")</x:f>
        <x:v>-0.034387092063955516</x:v>
      </x:c>
      <x:c r="F56" s="36" t="n">
        <x:v>3.132460043764582</x:v>
      </x:c>
      <x:c r="G56" s="40" t="n">
        <x:f>IFERROR(F56/F53-1,"")</x:f>
        <x:v>-0.21758414409734672</x:v>
      </x:c>
      <x:c r="H56" s="38" t="n">
        <x:v>110804.99481096194</x:v>
      </x:c>
      <x:c r="I56" s="40" t="n">
        <x:f>IFERROR(H56/H55-1,"")</x:f>
        <x:v>0.10580856020115603</x:v>
      </x:c>
      <x:c r="J56" s="40" t="n">
        <x:f>IFERROR(H56/H53-1,"")</x:f>
        <x:v>0.13804630368305748</x:v>
      </x:c>
      <x:c r="K56" s="40" t="n">
        <x:f>IFERROR(H56/H50-1,"")</x:f>
        <x:v>0.22281257181415626</x:v>
      </x:c>
      <x:c r="L56" s="40" t="n">
        <x:f>IFERROR(J56-J55,"")</x:f>
        <x:v>0.06356227974064876</x:v>
      </x:c>
      <x:c r="M56" s="40" t="n">
        <x:f>IFERROR(J56-D56,"")</x:f>
        <x:v>0.21855242159184507</x:v>
      </x:c>
      <x:c r="N56" s="42" t="str">
        <x:f>IF(J56&lt;0,IF(D56&lt;0,"Down-cycle","Price up / earnings down"),IF(AND(J56&gt;0,L56&lt;0,M56&lt;-0.15),"Late-cycle warning",IF(AND(J56&gt;0,M56&gt;0),"Earnings-led expansion",IF(AND(J56&gt;0,D56&lt;0),"Potential dislocation",IF(AND(J56&gt;0,M56&lt;0),"Price ahead / rerating","Neutral")))))</x:f>
        <x:v>Earnings-led expansion</x:v>
      </x:c>
      <x:c r="O56" s="40" t="n">
        <x:v>0.06356227974064876</x:v>
      </x:c>
      <x:c r="P56" s="40" t="n">
        <x:v>0.9117647058823529</x:v>
      </x:c>
      <x:c r="Q56" s="40" t="n">
        <x:v>0.6153846153846154</x:v>
      </x:c>
      <x:c r="R56" s="40" t="n">
        <x:v>0.19718309859154928</x:v>
      </x:c>
      <x:c r="S56" s="40" t="n">
        <x:v>0.8028169014084507</x:v>
      </x:c>
      <x:c r="T56" s="40" t="n">
        <x:v>0.17647058823529413</x:v>
      </x:c>
      <x:c r="U56" s="40" t="n">
        <x:v>1</x:v>
      </x:c>
      <x:c r="V56" s="40" t="n">
        <x:v>0.6688212988337263</x:v>
      </x:c>
      <x:c r="W56" s="64" t="str">
        <x:v>Stage 8 – High-Cycle Expansion</x:v>
      </x:c>
      <x:c r="X56" s="64" t="str">
        <x:v>Rev3M +13.8%; Accel3M +6.4ppt; Stock3M -8.1%; EV/EBITDA 3.1x (20th pct); PeakRatio36M 100%; Multiple3M -21.8%; Earnings-Price Gap +21.9%; CycleHeat 67%. Forward EBITDA is near a 36M high, revisions remain positive, and EV/EBITDA is at a low historical percentile—classic high-profit-cycle conditions.</x:v>
      </x:c>
    </x:row>
    <x:row r="57">
      <x:c r="A57" s="32" t="n">
        <x:v>44712</x:v>
      </x:c>
      <x:c r="B57" s="33" t="n">
        <x:v>0.3226</x:v>
      </x:c>
      <x:c r="C57" s="40" t="n">
        <x:f>IFERROR((1+B57)/(1+B56)-1,"")</x:f>
        <x:v>0</x:v>
      </x:c>
      <x:c r="D57" s="40" t="n">
        <x:f>IFERROR((1+B57)/(1+B54)-1,"")</x:f>
        <x:v>-0.06516822165677127</x:v>
      </x:c>
      <x:c r="E57" s="40" t="n">
        <x:f>IFERROR((1+B57)/(1+B51)-1,"")</x:f>
        <x:v>-0.054678007290400954</x:v>
      </x:c>
      <x:c r="F57" s="36" t="n">
        <x:v>3.123100782175763</x:v>
      </x:c>
      <x:c r="G57" s="40" t="n">
        <x:f>IFERROR(F57/F54-1,"")</x:f>
        <x:v>-0.20579000610992837</x:v>
      </x:c>
      <x:c r="H57" s="38" t="n">
        <x:v>110804.99481096194</x:v>
      </x:c>
      <x:c r="I57" s="40" t="n">
        <x:f>IFERROR(H57/H56-1,"")</x:f>
        <x:v>0</x:v>
      </x:c>
      <x:c r="J57" s="40" t="n">
        <x:f>IFERROR(H57/H54-1,"")</x:f>
        <x:v>0.12181163504307158</x:v>
      </x:c>
      <x:c r="K57" s="40" t="n">
        <x:f>IFERROR(H57/H51-1,"")</x:f>
        <x:v>0.20536867972649242</x:v>
      </x:c>
      <x:c r="L57" s="40" t="n">
        <x:f>IFERROR(J57-J56,"")</x:f>
        <x:v>-0.016234668639985905</x:v>
      </x:c>
      <x:c r="M57" s="40" t="n">
        <x:f>IFERROR(J57-D57,"")</x:f>
        <x:v>0.18697985669984285</x:v>
      </x:c>
      <x:c r="N57" s="42" t="str">
        <x:f>IF(J57&lt;0,IF(D57&lt;0,"Down-cycle","Price up / earnings down"),IF(AND(J57&gt;0,L57&lt;0,M57&lt;-0.15),"Late-cycle warning",IF(AND(J57&gt;0,M57&gt;0),"Earnings-led expansion",IF(AND(J57&gt;0,D57&lt;0),"Potential dislocation",IF(AND(J57&gt;0,M57&lt;0),"Price ahead / rerating","Neutral")))))</x:f>
        <x:v>Earnings-led expansion</x:v>
      </x:c>
      <x:c r="O57" s="40" t="n">
        <x:v>0.04732761110066286</x:v>
      </x:c>
      <x:c r="P57" s="40" t="n">
        <x:v>0.8823529411764706</x:v>
      </x:c>
      <x:c r="Q57" s="40" t="n">
        <x:v>0.5384615384615384</x:v>
      </x:c>
      <x:c r="R57" s="40" t="n">
        <x:v>0.18309859154929578</x:v>
      </x:c>
      <x:c r="S57" s="40" t="n">
        <x:v>0.8169014084507042</x:v>
      </x:c>
      <x:c r="T57" s="40" t="n">
        <x:v>0.22058823529411764</x:v>
      </x:c>
      <x:c r="U57" s="40" t="n">
        <x:v>1</x:v>
      </x:c>
      <x:c r="V57" s="40" t="n">
        <x:v>0.6509368427761136</x:v>
      </x:c>
      <x:c r="W57" s="64" t="str">
        <x:v>Stage 8 – High-Cycle Expansion</x:v>
      </x:c>
      <x:c r="X57" s="64" t="str">
        <x:v>Rev3M +12.2%; Accel3M +4.7ppt; Stock3M -6.5%; EV/EBITDA 3.1x (18th pct); PeakRatio36M 100%; Multiple3M -20.6%; Earnings-Price Gap +18.7%; CycleHeat 65%. Forward EBITDA is near a 36M high, revisions remain positive, and EV/EBITDA is at a low historical percentile—classic high-profit-cycle conditions.</x:v>
      </x:c>
    </x:row>
    <x:row r="58">
      <x:c r="A58" s="32" t="n">
        <x:v>44742</x:v>
      </x:c>
      <x:c r="B58" s="33" t="n">
        <x:v>0.1185</x:v>
      </x:c>
      <x:c r="C58" s="40" t="n">
        <x:f>IFERROR((1+B58)/(1+B57)-1,"")</x:f>
        <x:v>-0.15431725389384543</x:v>
      </x:c>
      <x:c r="D58" s="40" t="n">
        <x:f>IFERROR((1+B58)/(1+B55)-1,"")</x:f>
        <x:v>-0.1810660418802168</x:v>
      </x:c>
      <x:c r="E58" s="40" t="n">
        <x:f>IFERROR((1+B58)/(1+B52)-1,"")</x:f>
        <x:v>-0.2720468597461764</x:v>
      </x:c>
      <x:c r="F58" s="36" t="n">
        <x:v>2.9949696513412807</x:v>
      </x:c>
      <x:c r="G58" s="40" t="n">
        <x:f>IFERROR(F58/F55-1,"")</x:f>
        <x:v>-0.19862835720329852</x:v>
      </x:c>
      <x:c r="H58" s="38" t="n">
        <x:v>95975.28549540321</x:v>
      </x:c>
      <x:c r="I58" s="40" t="n">
        <x:f>IFERROR(H58/H57-1,"")</x:f>
        <x:v>-0.13383610856946349</x:v>
      </x:c>
      <x:c r="J58" s="40" t="n">
        <x:f>IFERROR(H58/H55-1,"")</x:f>
        <x:v>-0.04218855431896784</x:v>
      </x:c>
      <x:c r="K58" s="40" t="n">
        <x:f>IFERROR(H58/H52-1,"")</x:f>
        <x:v>0.0291530963334512</x:v>
      </x:c>
      <x:c r="L58" s="40" t="n">
        <x:f>IFERROR(J58-J57,"")</x:f>
        <x:v>-0.16400018936203942</x:v>
      </x:c>
      <x:c r="M58" s="40" t="n">
        <x:f>IFERROR(J58-D58,"")</x:f>
        <x:v>0.13887748756124896</x:v>
      </x:c>
      <x:c r="N58" s="42" t="str">
        <x:f>IF(J58&lt;0,IF(D58&lt;0,"Down-cycle","Price up / earnings down"),IF(AND(J58&gt;0,L58&lt;0,M58&lt;-0.15),"Late-cycle warning",IF(AND(J58&gt;0,M58&gt;0),"Earnings-led expansion",IF(AND(J58&gt;0,D58&lt;0),"Potential dislocation",IF(AND(J58&gt;0,M58&lt;0),"Price ahead / rerating","Neutral")))))</x:f>
        <x:v>Down-cycle</x:v>
      </x:c>
      <x:c r="O58" s="40" t="n">
        <x:v>-0.11667257826137656</x:v>
      </x:c>
      <x:c r="P58" s="40" t="n">
        <x:v>0.3088235294117647</x:v>
      </x:c>
      <x:c r="Q58" s="40" t="n">
        <x:v>0.18461538461538463</x:v>
      </x:c>
      <x:c r="R58" s="40" t="n">
        <x:v>0.11267605633802817</x:v>
      </x:c>
      <x:c r="S58" s="40" t="n">
        <x:v>0.8873239436619719</x:v>
      </x:c>
      <x:c r="T58" s="40" t="n">
        <x:v>0</x:v>
      </x:c>
      <x:c r="U58" s="40" t="n">
        <x:v>0.8661638914305365</x:v>
      </x:c>
      <x:c r="V58" s="40" t="n">
        <x:v>0.33170687018035816</x:v>
      </x:c>
      <x:c r="W58" s="64" t="str">
        <x:v>Stage 12 – Downturn Confirmation</x:v>
      </x:c>
      <x:c r="X58" s="64" t="str">
        <x:v>Rev3M -4.2%; Accel3M -11.7ppt; Stock3M -18.1%; EV/EBITDA 3.0x (11th pct); PeakRatio36M 87%; Multiple3M -19.9%; Earnings-Price Gap +13.9%; CycleHeat 33%. Forward EBITDA, revision momentum, and stock performance are all negative while earnings are still relatively elevated—downcycle is being confirmed.</x:v>
      </x:c>
    </x:row>
    <x:row r="59">
      <x:c r="A59" s="32" t="n">
        <x:v>44773</x:v>
      </x:c>
      <x:c r="B59" s="33" t="n">
        <x:v>0.2049</x:v>
      </x:c>
      <x:c r="C59" s="40" t="n">
        <x:f>IFERROR((1+B59)/(1+B58)-1,"")</x:f>
        <x:v>0.07724631202503351</x:v>
      </x:c>
      <x:c r="D59" s="40" t="n">
        <x:f>IFERROR((1+B59)/(1+B56)-1,"")</x:f>
        <x:v>-0.08899138061394218</x:v>
      </x:c>
      <x:c r="E59" s="40" t="n">
        <x:f>IFERROR((1+B59)/(1+B53)-1,"")</x:f>
        <x:v>-0.16233314794215792</x:v>
      </x:c>
      <x:c r="F59" s="36" t="n">
        <x:v>3.325648604852118</x:v>
      </x:c>
      <x:c r="G59" s="40" t="n">
        <x:f>IFERROR(F59/F56-1,"")</x:f>
        <x:v>0.06167311262983022</x:v>
      </x:c>
      <x:c r="H59" s="38" t="n">
        <x:v>93928.94056701426</x:v>
      </x:c>
      <x:c r="I59" s="40" t="n">
        <x:f>IFERROR(H59/H58-1,"")</x:f>
        <x:v>-0.02132158209091195</x:v>
      </x:c>
      <x:c r="J59" s="40" t="n">
        <x:f>IFERROR(H59/H56-1,"")</x:f>
        <x:v>-0.15230409308478332</x:v>
      </x:c>
      <x:c r="K59" s="40" t="n">
        <x:f>IFERROR(H59/H53-1,"")</x:f>
        <x:v>-0.0352828064878804</x:v>
      </x:c>
      <x:c r="L59" s="40" t="n">
        <x:f>IFERROR(J59-J58,"")</x:f>
        <x:v>-0.11011553876581548</x:v>
      </x:c>
      <x:c r="M59" s="40" t="n">
        <x:f>IFERROR(J59-D59,"")</x:f>
        <x:v>-0.06331271247084114</x:v>
      </x:c>
      <x:c r="N59" s="42" t="str">
        <x:f>IF(J59&lt;0,IF(D59&lt;0,"Down-cycle","Price up / earnings down"),IF(AND(J59&gt;0,L59&lt;0,M59&lt;-0.15),"Late-cycle warning",IF(AND(J59&gt;0,M59&gt;0),"Earnings-led expansion",IF(AND(J59&gt;0,D59&lt;0),"Potential dislocation",IF(AND(J59&gt;0,M59&lt;0),"Price ahead / rerating","Neutral")))))</x:f>
        <x:v>Down-cycle</x:v>
      </x:c>
      <x:c r="O59" s="40" t="n">
        <x:v>-0.2903503967678408</x:v>
      </x:c>
      <x:c r="P59" s="40" t="n">
        <x:v>0.1323529411764706</x:v>
      </x:c>
      <x:c r="Q59" s="40" t="n">
        <x:v>0.015384615384615385</x:v>
      </x:c>
      <x:c r="R59" s="40" t="n">
        <x:v>0.23943661971830985</x:v>
      </x:c>
      <x:c r="S59" s="40" t="n">
        <x:v>0.7605633802816901</x:v>
      </x:c>
      <x:c r="T59" s="40" t="n">
        <x:v>0.1323529411764706</x:v>
      </x:c>
      <x:c r="U59" s="40" t="n">
        <x:v>0.8476959069152167</x:v>
      </x:c>
      <x:c r="V59" s="40" t="n">
        <x:v>0.22875294754955072</x:v>
      </x:c>
      <x:c r="W59" s="64" t="str">
        <x:v>Stage 12 – Downturn Confirmation</x:v>
      </x:c>
      <x:c r="X59" s="64" t="str">
        <x:v>Rev3M -15.2%; Accel3M -29.0ppt; Stock3M -8.9%; EV/EBITDA 3.3x (24th pct); PeakRatio36M 85%; Multiple3M +6.2%; Earnings-Price Gap -6.3%; CycleHeat 23%. Forward EBITDA, revision momentum, and stock performance are all negative while earnings are still relatively elevated—downcycle is being confirmed.</x:v>
      </x:c>
    </x:row>
    <x:row r="60">
      <x:c r="A60" s="32" t="n">
        <x:v>44804</x:v>
      </x:c>
      <x:c r="B60" s="33" t="n">
        <x:v>0.1715</x:v>
      </x:c>
      <x:c r="C60" s="40" t="n">
        <x:f>IFERROR((1+B60)/(1+B59)-1,"")</x:f>
        <x:v>-0.027720142750435772</x:v>
      </x:c>
      <x:c r="D60" s="40" t="n">
        <x:f>IFERROR((1+B60)/(1+B57)-1,"")</x:f>
        <x:v>-0.11424466959020108</x:v>
      </x:c>
      <x:c r="E60" s="40" t="n">
        <x:f>IFERROR((1+B60)/(1+B54)-1,"")</x:f>
        <x:v>-0.17196776929601365</x:v>
      </x:c>
      <x:c r="F60" s="36" t="n">
        <x:v>3.488743287146032</x:v>
      </x:c>
      <x:c r="G60" s="40" t="n">
        <x:f>IFERROR(F60/F57-1,"")</x:f>
        <x:v>0.11707675495362602</x:v>
      </x:c>
      <x:c r="H60" s="38" t="n">
        <x:v>86791.95382421753</x:v>
      </x:c>
      <x:c r="I60" s="40" t="n">
        <x:f>IFERROR(H60/H59-1,"")</x:f>
        <x:v>-0.0759828302088087</x:v>
      </x:c>
      <x:c r="J60" s="40" t="n">
        <x:f>IFERROR(H60/H57-1,"")</x:f>
        <x:v>-0.21671442724862433</x:v>
      </x:c>
      <x:c r="K60" s="40" t="n">
        <x:f>IFERROR(H60/H54-1,"")</x:f>
        <x:v>-0.12130113092613048</x:v>
      </x:c>
      <x:c r="L60" s="40" t="n">
        <x:f>IFERROR(J60-J59,"")</x:f>
        <x:v>-0.06441033416384101</x:v>
      </x:c>
      <x:c r="M60" s="40" t="n">
        <x:f>IFERROR(J60-D60,"")</x:f>
        <x:v>-0.10246975765842326</x:v>
      </x:c>
      <x:c r="N60" s="42" t="str">
        <x:f>IF(J60&lt;0,IF(D60&lt;0,"Down-cycle","Price up / earnings down"),IF(AND(J60&gt;0,L60&lt;0,M60&lt;-0.15),"Late-cycle warning",IF(AND(J60&gt;0,M60&gt;0),"Earnings-led expansion",IF(AND(J60&gt;0,D60&lt;0),"Potential dislocation",IF(AND(J60&gt;0,M60&lt;0),"Price ahead / rerating","Neutral")))))</x:f>
        <x:v>Down-cycle</x:v>
      </x:c>
      <x:c r="O60" s="40" t="n">
        <x:v>-0.3385260622916959</x:v>
      </x:c>
      <x:c r="P60" s="40" t="n">
        <x:v>0.07352941176470588</x:v>
      </x:c>
      <x:c r="Q60" s="40" t="n">
        <x:v>0</x:v>
      </x:c>
      <x:c r="R60" s="40" t="n">
        <x:v>0.2676056338028169</x:v>
      </x:c>
      <x:c r="S60" s="40" t="n">
        <x:v>0.7323943661971831</x:v>
      </x:c>
      <x:c r="T60" s="40" t="n">
        <x:v>0.07352941176470588</x:v>
      </x:c>
      <x:c r="U60" s="40" t="n">
        <x:v>0.7832855727513757</x:v>
      </x:c>
      <x:c r="V60" s="40" t="n">
        <x:v>0.18692004971002485</x:v>
      </x:c>
      <x:c r="W60" s="64" t="str">
        <x:v>Stage 12 – Downturn Confirmation</x:v>
      </x:c>
      <x:c r="X60" s="64" t="str">
        <x:v>Rev3M -21.7%; Accel3M -33.9ppt; Stock3M -11.4%; EV/EBITDA 3.5x (27th pct); PeakRatio36M 78%; Multiple3M +11.7%; Earnings-Price Gap -10.2%; CycleHeat 19%. Forward EBITDA, revision momentum, and stock performance are all negative while earnings are still relatively elevated—downcycle is being confirmed.</x:v>
      </x:c>
    </x:row>
    <x:row r="61">
      <x:c r="A61" s="32" t="n">
        <x:v>44834</x:v>
      </x:c>
      <x:c r="B61" s="33" t="n">
        <x:v>0.042</x:v>
      </x:c>
      <x:c r="C61" s="40" t="n">
        <x:f>IFERROR((1+B61)/(1+B60)-1,"")</x:f>
        <x:v>-0.11054204011950486</x:v>
      </x:c>
      <x:c r="D61" s="40" t="n">
        <x:f>IFERROR((1+B61)/(1+B58)-1,"")</x:f>
        <x:v>-0.06839517210549839</x:v>
      </x:c>
      <x:c r="E61" s="40" t="n">
        <x:f>IFERROR((1+B61)/(1+B55)-1,"")</x:f>
        <x:v>-0.23707717088885638</x:v>
      </x:c>
      <x:c r="F61" s="36" t="n">
        <x:v>3.385895922963016</x:v>
      </x:c>
      <x:c r="G61" s="40" t="n">
        <x:f>IFERROR(F61/F58-1,"")</x:f>
        <x:v>0.13052762369283477</x:v>
      </x:c>
      <x:c r="H61" s="38" t="n">
        <x:v>77925.48632367593</x:v>
      </x:c>
      <x:c r="I61" s="40" t="n">
        <x:f>IFERROR(H61/H60-1,"")</x:f>
        <x:v>-0.10215771289697129</x:v>
      </x:c>
      <x:c r="J61" s="40" t="n">
        <x:f>IFERROR(H61/H58-1,"")</x:f>
        <x:v>-0.18806715789964268</x:v>
      </x:c>
      <x:c r="K61" s="40" t="n">
        <x:f>IFERROR(H61/H55-1,"")</x:f>
        <x:v>-0.22232143071194754</x:v>
      </x:c>
      <x:c r="L61" s="40" t="n">
        <x:f>IFERROR(J61-J60,"")</x:f>
        <x:v>0.028647269348981652</x:v>
      </x:c>
      <x:c r="M61" s="40" t="n">
        <x:f>IFERROR(J61-D61,"")</x:f>
        <x:v>-0.11967198579414429</x:v>
      </x:c>
      <x:c r="N61" s="42" t="str">
        <x:f>IF(J61&lt;0,IF(D61&lt;0,"Down-cycle","Price up / earnings down"),IF(AND(J61&gt;0,L61&lt;0,M61&lt;-0.15),"Late-cycle warning",IF(AND(J61&gt;0,M61&gt;0),"Earnings-led expansion",IF(AND(J61&gt;0,D61&lt;0),"Potential dislocation",IF(AND(J61&gt;0,M61&lt;0),"Price ahead / rerating","Neutral")))))</x:f>
        <x:v>Down-cycle</x:v>
      </x:c>
      <x:c r="O61" s="40" t="n">
        <x:v>-0.14587860358067484</x:v>
      </x:c>
      <x:c r="P61" s="40" t="n">
        <x:v>0.10294117647058823</x:v>
      </x:c>
      <x:c r="Q61" s="40" t="n">
        <x:v>0.1076923076923077</x:v>
      </x:c>
      <x:c r="R61" s="40" t="n">
        <x:v>0.2535211267605634</x:v>
      </x:c>
      <x:c r="S61" s="40" t="n">
        <x:v>0.7464788732394366</x:v>
      </x:c>
      <x:c r="T61" s="40" t="n">
        <x:v>0.20588235294117646</x:v>
      </x:c>
      <x:c r="U61" s="40" t="n">
        <x:v>0.7032669100939009</x:v>
      </x:c>
      <x:c r="V61" s="40" t="n">
        <x:v>0.2534247339239054</x:v>
      </x:c>
      <x:c r="W61" s="64" t="str">
        <x:v>Stage 12 – Downturn Confirmation</x:v>
      </x:c>
      <x:c r="X61" s="64" t="str">
        <x:v>Rev3M -18.8%; Accel3M -14.6ppt; Stock3M -6.8%; EV/EBITDA 3.4x (25th pct); PeakRatio36M 70%; Multiple3M +13.1%; Earnings-Price Gap -12.0%; CycleHeat 25%. Forward EBITDA, revision momentum, and stock performance are all negative while earnings are still relatively elevated—downcycle is being confirmed.</x:v>
      </x:c>
    </x:row>
    <x:row r="62">
      <x:c r="A62" s="32" t="n">
        <x:v>44865</x:v>
      </x:c>
      <x:c r="B62" s="33" t="n">
        <x:v>0.1656</x:v>
      </x:c>
      <x:c r="C62" s="40" t="n">
        <x:f>IFERROR((1+B62)/(1+B61)-1,"")</x:f>
        <x:v>0.11861804222648753</x:v>
      </x:c>
      <x:c r="D62" s="40" t="n">
        <x:f>IFERROR((1+B62)/(1+B59)-1,"")</x:f>
        <x:v>-0.03261681467341693</x:v>
      </x:c>
      <x:c r="E62" s="40" t="n">
        <x:f>IFERROR((1+B62)/(1+B56)-1,"")</x:f>
        <x:v>-0.11870557991834263</x:v>
      </x:c>
      <x:c r="F62" s="36" t="n">
        <x:v>4.003574339825645</x:v>
      </x:c>
      <x:c r="G62" s="40" t="n">
        <x:f>IFERROR(F62/F59-1,"")</x:f>
        <x:v>0.20384767470154075</x:v>
      </x:c>
      <x:c r="H62" s="38" t="n">
        <x:v>70977.31559584265</x:v>
      </x:c>
      <x:c r="I62" s="40" t="n">
        <x:f>IFERROR(H62/H61-1,"")</x:f>
        <x:v>-0.08916429085823019</x:v>
      </x:c>
      <x:c r="J62" s="40" t="n">
        <x:f>IFERROR(H62/H59-1,"")</x:f>
        <x:v>-0.24435094053676254</x:v>
      </x:c>
      <x:c r="K62" s="40" t="n">
        <x:f>IFERROR(H62/H56-1,"")</x:f>
        <x:v>-0.35943938522868046</x:v>
      </x:c>
      <x:c r="L62" s="40" t="n">
        <x:f>IFERROR(J62-J61,"")</x:f>
        <x:v>-0.05628378263711986</x:v>
      </x:c>
      <x:c r="M62" s="40" t="n">
        <x:f>IFERROR(J62-D62,"")</x:f>
        <x:v>-0.2117341258633456</x:v>
      </x:c>
      <x:c r="N62" s="42" t="str">
        <x:f>IF(J62&lt;0,IF(D62&lt;0,"Down-cycle","Price up / earnings down"),IF(AND(J62&gt;0,L62&lt;0,M62&lt;-0.15),"Late-cycle warning",IF(AND(J62&gt;0,M62&gt;0),"Earnings-led expansion",IF(AND(J62&gt;0,D62&lt;0),"Potential dislocation",IF(AND(J62&gt;0,M62&lt;0),"Price ahead / rerating","Neutral")))))</x:f>
        <x:v>Down-cycle</x:v>
      </x:c>
      <x:c r="O62" s="40" t="n">
        <x:v>-0.09204684745197922</x:v>
      </x:c>
      <x:c r="P62" s="40" t="n">
        <x:v>0</x:v>
      </x:c>
      <x:c r="Q62" s="40" t="n">
        <x:v>0.23076923076923078</x:v>
      </x:c>
      <x:c r="R62" s="40" t="n">
        <x:v>0.4154929577464789</x:v>
      </x:c>
      <x:c r="S62" s="40" t="n">
        <x:v>0.5845070422535211</x:v>
      </x:c>
      <x:c r="T62" s="40" t="n">
        <x:v>0.36764705882352944</x:v>
      </x:c>
      <x:c r="U62" s="40" t="n">
        <x:v>0.6405606147713195</x:v>
      </x:c>
      <x:c r="V62" s="40" t="n">
        <x:v>0.24812312790771784</x:v>
      </x:c>
      <x:c r="W62" s="64" t="str">
        <x:v>Stage 1 – Downturn Acceleration</x:v>
      </x:c>
      <x:c r="X62" s="64" t="str">
        <x:v>Rev3M -24.4%; Accel3M -9.2ppt; Stock3M -3.3%; EV/EBITDA 4.0x (42th pct); PeakRatio36M 64%; Multiple3M +20.4%; Earnings-Price Gap -21.2%; CycleHeat 25%. Forward EBITDA is being cut, revision momentum is still worsening, the stock is falling, and earnings are already well below the prior peak.</x:v>
      </x:c>
    </x:row>
    <x:row r="63">
      <x:c r="A63" s="32" t="n">
        <x:v>44895</x:v>
      </x:c>
      <x:c r="B63" s="33" t="n">
        <x:v>0.2206</x:v>
      </x:c>
      <x:c r="C63" s="40" t="n">
        <x:f>IFERROR((1+B63)/(1+B62)-1,"")</x:f>
        <x:v>0.04718599862731643</x:v>
      </x:c>
      <x:c r="D63" s="40" t="n">
        <x:f>IFERROR((1+B63)/(1+B60)-1,"")</x:f>
        <x:v>0.04191207853179679</x:v>
      </x:c>
      <x:c r="E63" s="40" t="n">
        <x:f>IFERROR((1+B63)/(1+B57)-1,"")</x:f>
        <x:v>-0.07712082262210807</x:v>
      </x:c>
      <x:c r="F63" s="36" t="n">
        <x:v>4.327488888957642</x:v>
      </x:c>
      <x:c r="G63" s="40" t="n">
        <x:f>IFERROR(F63/F60-1,"")</x:f>
        <x:v>0.24041482355606236</x:v>
      </x:c>
      <x:c r="H63" s="38" t="n">
        <x:v>69964.79686446511</x:v>
      </x:c>
      <x:c r="I63" s="40" t="n">
        <x:f>IFERROR(H63/H62-1,"")</x:f>
        <x:v>-0.014265384973742856</x:v>
      </x:c>
      <x:c r="J63" s="40" t="n">
        <x:f>IFERROR(H63/H60-1,"")</x:f>
        <x:v>-0.19387922748960107</x:v>
      </x:c>
      <x:c r="K63" s="40" t="n">
        <x:f>IFERROR(H63/H57-1,"")</x:f>
        <x:v>-0.36857722899741074</x:v>
      </x:c>
      <x:c r="L63" s="40" t="n">
        <x:f>IFERROR(J63-J62,"")</x:f>
        <x:v>0.05047171304716147</x:v>
      </x:c>
      <x:c r="M63" s="40" t="n">
        <x:f>IFERROR(J63-D63,"")</x:f>
        <x:v>-0.23579130602139786</x:v>
      </x:c>
      <x:c r="N63" s="42" t="str">
        <x:f>IF(J63&lt;0,IF(D63&lt;0,"Down-cycle","Price up / earnings down"),IF(AND(J63&gt;0,L63&lt;0,M63&lt;-0.15),"Late-cycle warning",IF(AND(J63&gt;0,M63&gt;0),"Earnings-led expansion",IF(AND(J63&gt;0,D63&lt;0),"Potential dislocation",IF(AND(J63&gt;0,M63&lt;0),"Price ahead / rerating","Neutral")))))</x:f>
        <x:v>Price up / earnings down</x:v>
      </x:c>
      <x:c r="O63" s="40" t="n">
        <x:v>0.02283519975902326</x:v>
      </x:c>
      <x:c r="P63" s="40" t="n">
        <x:v>0.08823529411764706</x:v>
      </x:c>
      <x:c r="Q63" s="40" t="n">
        <x:v>0.49230769230769234</x:v>
      </x:c>
      <x:c r="R63" s="40" t="n">
        <x:v>0.5</x:v>
      </x:c>
      <x:c r="S63" s="40" t="n">
        <x:v>0.5</x:v>
      </x:c>
      <x:c r="T63" s="40" t="n">
        <x:v>0.5735294117647058</x:v>
      </x:c>
      <x:c r="U63" s="40" t="n">
        <x:v>0.6314227710025893</x:v>
      </x:c>
      <x:c r="V63" s="40" t="n">
        <x:v>0.3686651583710407</x:v>
      </x:c>
      <x:c r="W63" s="64" t="str">
        <x:v>Stage 4 – Price-Led Bottom</x:v>
      </x:c>
      <x:c r="X63" s="64" t="str">
        <x:v>Rev3M -19.4%; Accel3M +2.3ppt; Stock3M +4.2%; EV/EBITDA 4.3x (50th pct); PeakRatio36M 63%; Multiple3M +24.0%; Earnings-Price Gap -23.6%; CycleHeat 37%. EBITDA is still being revised down but improving, while the stock has already turned up—typical price leadership near a bottom.</x:v>
      </x:c>
    </x:row>
    <x:row r="64">
      <x:c r="A64" s="32" t="n">
        <x:v>44926</x:v>
      </x:c>
      <x:c r="B64" s="33" t="n">
        <x:v>0.0852</x:v>
      </x:c>
      <x:c r="C64" s="40" t="n">
        <x:f>IFERROR((1+B64)/(1+B63)-1,"")</x:f>
        <x:v>-0.11092905128625263</x:v>
      </x:c>
      <x:c r="D64" s="40" t="n">
        <x:f>IFERROR((1+B64)/(1+B61)-1,"")</x:f>
        <x:v>0.04145873320537419</x:v>
      </x:c>
      <x:c r="E64" s="40" t="n">
        <x:f>IFERROR((1+B64)/(1+B58)-1,"")</x:f>
        <x:v>-0.029772016092981746</x:v>
      </x:c>
      <x:c r="F64" s="36" t="n">
        <x:v>4.015572191368114</x:v>
      </x:c>
      <x:c r="G64" s="40" t="n">
        <x:f>IFERROR(F64/F61-1,"")</x:f>
        <x:v>0.18597035547804586</x:v>
      </x:c>
      <x:c r="H64" s="38" t="n">
        <x:v>69964.79686446511</x:v>
      </x:c>
      <x:c r="I64" s="40" t="n">
        <x:f>IFERROR(H64/H63-1,"")</x:f>
        <x:v>0</x:v>
      </x:c>
      <x:c r="J64" s="40" t="n">
        <x:f>IFERROR(H64/H61-1,"")</x:f>
        <x:v>-0.10215771289696962</x:v>
      </x:c>
      <x:c r="K64" s="40" t="n">
        <x:f>IFERROR(H64/H58-1,"")</x:f>
        <x:v>-0.27101236007455154</x:v>
      </x:c>
      <x:c r="L64" s="40" t="n">
        <x:f>IFERROR(J64-J63,"")</x:f>
        <x:v>0.09172151459263145</x:v>
      </x:c>
      <x:c r="M64" s="40" t="n">
        <x:f>IFERROR(J64-D64,"")</x:f>
        <x:v>-0.1436164461023438</x:v>
      </x:c>
      <x:c r="N64" s="42" t="str">
        <x:f>IF(J64&lt;0,IF(D64&lt;0,"Down-cycle","Price up / earnings down"),IF(AND(J64&gt;0,L64&lt;0,M64&lt;-0.15),"Late-cycle warning",IF(AND(J64&gt;0,M64&gt;0),"Earnings-led expansion",IF(AND(J64&gt;0,D64&lt;0),"Potential dislocation",IF(AND(J64&gt;0,M64&lt;0),"Price ahead / rerating","Neutral")))))</x:f>
        <x:v>Price up / earnings down</x:v>
      </x:c>
      <x:c r="O64" s="40" t="n">
        <x:v>0.08590944500267306</x:v>
      </x:c>
      <x:c r="P64" s="40" t="n">
        <x:v>0.20588235294117646</x:v>
      </x:c>
      <x:c r="Q64" s="40" t="n">
        <x:v>0.7076923076923077</x:v>
      </x:c>
      <x:c r="R64" s="40" t="n">
        <x:v>0.43661971830985913</x:v>
      </x:c>
      <x:c r="S64" s="40" t="n">
        <x:v>0.5633802816901409</x:v>
      </x:c>
      <x:c r="T64" s="40" t="n">
        <x:v>0.5588235294117647</x:v>
      </x:c>
      <x:c r="U64" s="40" t="n">
        <x:v>0.6314227710025893</x:v>
      </x:c>
      <x:c r="V64" s="40" t="n">
        <x:v>0.4734226626728698</x:v>
      </x:c>
      <x:c r="W64" s="64" t="str">
        <x:v>Stage 4 – Price-Led Bottom</x:v>
      </x:c>
      <x:c r="X64" s="64" t="str">
        <x:v>Rev3M -10.2%; Accel3M +8.6ppt; Stock3M +4.1%; EV/EBITDA 4.0x (44th pct); PeakRatio36M 63%; Multiple3M +18.6%; Earnings-Price Gap -14.4%; CycleHeat 47%. EBITDA is still being revised down but improving, while the stock has already turned up—typical price leadership near a bottom.</x:v>
      </x:c>
    </x:row>
    <x:row r="65">
      <x:c r="A65" s="32" t="n">
        <x:v>44957</x:v>
      </x:c>
      <x:c r="B65" s="33" t="n">
        <x:v>0.197</x:v>
      </x:c>
      <x:c r="C65" s="40" t="n">
        <x:f>IFERROR((1+B65)/(1+B64)-1,"")</x:f>
        <x:v>0.10302248433468497</x:v>
      </x:c>
      <x:c r="D65" s="40" t="n">
        <x:f>IFERROR((1+B65)/(1+B62)-1,"")</x:f>
        <x:v>0.026938915579958866</x:v>
      </x:c>
      <x:c r="E65" s="40" t="n">
        <x:f>IFERROR((1+B65)/(1+B59)-1,"")</x:f>
        <x:v>-0.006556560710432424</x:v>
      </x:c>
      <x:c r="F65" s="36" t="n">
        <x:v>5.319910013937321</x:v>
      </x:c>
      <x:c r="G65" s="40" t="n">
        <x:f>IFERROR(F65/F62-1,"")</x:f>
        <x:v>0.3287901166258853</x:v>
      </x:c>
      <x:c r="H65" s="38" t="n">
        <x:v>62817.353233490176</x:v>
      </x:c>
      <x:c r="I65" s="40" t="n">
        <x:f>IFERROR(H65/H64-1,"")</x:f>
        <x:v>-0.10215771289697118</x:v>
      </x:c>
      <x:c r="J65" s="40" t="n">
        <x:f>IFERROR(H65/H62-1,"")</x:f>
        <x:v>-0.11496577876820169</x:v>
      </x:c>
      <x:c r="K65" s="40" t="n">
        <x:f>IFERROR(H65/H59-1,"")</x:f>
        <x:v>-0.3312247231334128</x:v>
      </x:c>
      <x:c r="L65" s="40" t="n">
        <x:f>IFERROR(J65-J64,"")</x:f>
        <x:v>-0.012808065871232066</x:v>
      </x:c>
      <x:c r="M65" s="40" t="n">
        <x:f>IFERROR(J65-D65,"")</x:f>
        <x:v>-0.14190469434816055</x:v>
      </x:c>
      <x:c r="N65" s="42" t="str">
        <x:f>IF(J65&lt;0,IF(D65&lt;0,"Down-cycle","Price up / earnings down"),IF(AND(J65&gt;0,L65&lt;0,M65&lt;-0.15),"Late-cycle warning",IF(AND(J65&gt;0,M65&gt;0),"Earnings-led expansion",IF(AND(J65&gt;0,D65&lt;0),"Potential dislocation",IF(AND(J65&gt;0,M65&lt;0),"Price ahead / rerating","Neutral")))))</x:f>
        <x:v>Price up / earnings down</x:v>
      </x:c>
      <x:c r="O65" s="40" t="n">
        <x:v>0.12938516176856085</x:v>
      </x:c>
      <x:c r="P65" s="40" t="n">
        <x:v>0.17647058823529413</x:v>
      </x:c>
      <x:c r="Q65" s="40" t="n">
        <x:v>0.8307692307692308</x:v>
      </x:c>
      <x:c r="R65" s="40" t="n">
        <x:v>0.7816901408450704</x:v>
      </x:c>
      <x:c r="S65" s="40" t="n">
        <x:v>0.21830985915492962</x:v>
      </x:c>
      <x:c r="T65" s="40" t="n">
        <x:v>0.5294117647058824</x:v>
      </x:c>
      <x:c r="U65" s="40" t="n">
        <x:v>0.5669180648458968</x:v>
      </x:c>
      <x:c r="V65" s="40" t="n">
        <x:v>0.41900133834682307</x:v>
      </x:c>
      <x:c r="W65" s="64" t="str">
        <x:v>Stage 4 – Price-Led Bottom</x:v>
      </x:c>
      <x:c r="X65" s="64" t="str">
        <x:v>Rev3M -11.5%; Accel3M +12.9ppt; Stock3M +2.7%; EV/EBITDA 5.3x (78th pct); PeakRatio36M 57%; Multiple3M +32.9%; Earnings-Price Gap -14.2%; CycleHeat 42%. EBITDA is still being revised down but improving, while the stock has already turned up—typical price leadership near a bottom.</x:v>
      </x:c>
    </x:row>
    <x:row r="66">
      <x:c r="A66" s="32" t="n">
        <x:v>44985</x:v>
      </x:c>
      <x:c r="B66" s="33" t="n">
        <x:v>0.1892</x:v>
      </x:c>
      <x:c r="C66" s="40" t="n">
        <x:f>IFERROR((1+B66)/(1+B65)-1,"")</x:f>
        <x:v>-0.006516290726817031</x:v>
      </x:c>
      <x:c r="D66" s="40" t="n">
        <x:f>IFERROR((1+B66)/(1+B63)-1,"")</x:f>
        <x:v>-0.02572505325249863</x:v>
      </x:c>
      <x:c r="E66" s="40" t="n">
        <x:f>IFERROR((1+B66)/(1+B60)-1,"")</x:f>
        <x:v>0.015108834827144646</x:v>
      </x:c>
      <x:c r="F66" s="36" t="n">
        <x:v>5.597530675231895</x:v>
      </x:c>
      <x:c r="G66" s="40" t="n">
        <x:f>IFERROR(F66/F63-1,"")</x:f>
        <x:v>0.29348239102704343</x:v>
      </x:c>
      <x:c r="H66" s="38" t="n">
        <x:v>57216.28847883507</x:v>
      </x:c>
      <x:c r="I66" s="40" t="n">
        <x:f>IFERROR(H66/H65-1,"")</x:f>
        <x:v>-0.08916429085823019</x:v>
      </x:c>
      <x:c r="J66" s="40" t="n">
        <x:f>IFERROR(H66/H63-1,"")</x:f>
        <x:v>-0.18221318372904427</x:v>
      </x:c>
      <x:c r="K66" s="40" t="n">
        <x:f>IFERROR(H66/H60-1,"")</x:f>
        <x:v>-0.34076505991883743</x:v>
      </x:c>
      <x:c r="L66" s="40" t="n">
        <x:f>IFERROR(J66-J65,"")</x:f>
        <x:v>-0.06724740496084258</x:v>
      </x:c>
      <x:c r="M66" s="40" t="n">
        <x:f>IFERROR(J66-D66,"")</x:f>
        <x:v>-0.15648813047654564</x:v>
      </x:c>
      <x:c r="N66" s="42" t="str">
        <x:f>IF(J66&lt;0,IF(D66&lt;0,"Down-cycle","Price up / earnings down"),IF(AND(J66&gt;0,L66&lt;0,M66&lt;-0.15),"Late-cycle warning",IF(AND(J66&gt;0,M66&gt;0),"Earnings-led expansion",IF(AND(J66&gt;0,D66&lt;0),"Potential dislocation",IF(AND(J66&gt;0,M66&lt;0),"Price ahead / rerating","Neutral")))))</x:f>
        <x:v>Down-cycle</x:v>
      </x:c>
      <x:c r="O66" s="40" t="n">
        <x:v>0.011666043760556799</x:v>
      </x:c>
      <x:c r="P66" s="40" t="n">
        <x:v>0.11764705882352941</x:v>
      </x:c>
      <x:c r="Q66" s="40" t="n">
        <x:v>0.47692307692307695</x:v>
      </x:c>
      <x:c r="R66" s="40" t="n">
        <x:v>0.8169014084507042</x:v>
      </x:c>
      <x:c r="S66" s="40" t="n">
        <x:v>0.18309859154929575</x:v>
      </x:c>
      <x:c r="T66" s="40" t="n">
        <x:v>0.38235294117647056</x:v>
      </x:c>
      <x:c r="U66" s="40" t="n">
        <x:v>0.5163692176191922</x:v>
      </x:c>
      <x:c r="V66" s="40" t="n">
        <x:v>0.2734975463641578</x:v>
      </x:c>
      <x:c r="W66" s="64" t="str">
        <x:v>Stage 2 – Deep Downturn / Capitulation</x:v>
      </x:c>
      <x:c r="X66" s="64" t="str">
        <x:v>Rev3M -18.2%; Accel3M +1.2ppt; Stock3M -2.6%; EV/EBITDA 5.6x (82th pct); PeakRatio36M 52%; Multiple3M +29.3%; Earnings-Price Gap -15.6%; CycleHeat 27%. EBITDA revisions and stock returns are in weak historical percentiles, the multiple is unusually high, and forward EBITDA is far below its 36M peak.</x:v>
      </x:c>
    </x:row>
    <x:row r="67">
      <x:c r="A67" s="32" t="n">
        <x:v>45016</x:v>
      </x:c>
      <x:c r="B67" s="33" t="n">
        <x:v>0.2559</x:v>
      </x:c>
      <x:c r="C67" s="40" t="n">
        <x:f>IFERROR((1+B67)/(1+B66)-1,"")</x:f>
        <x:v>0.05608812647157757</x:v>
      </x:c>
      <x:c r="D67" s="40" t="n">
        <x:f>IFERROR((1+B67)/(1+B64)-1,"")</x:f>
        <x:v>0.15729819388131228</x:v>
      </x:c>
      <x:c r="E67" s="40" t="n">
        <x:f>IFERROR((1+B67)/(1+B61)-1,"")</x:f>
        <x:v>0.20527831094049898</x:v>
      </x:c>
      <x:c r="F67" s="36" t="n">
        <x:v>6.032328806025695</x:v>
      </x:c>
      <x:c r="G67" s="40" t="n">
        <x:f>IFERROR(F67/F64-1,"")</x:f>
        <x:v>0.5022339329355869</x:v>
      </x:c>
      <x:c r="H67" s="38" t="n">
        <x:v>53250.01321927687</x:v>
      </x:c>
      <x:c r="I67" s="40" t="n">
        <x:f>IFERROR(H67/H66-1,"")</x:f>
        <x:v>-0.06932073654210147</x:v>
      </x:c>
      <x:c r="J67" s="40" t="n">
        <x:f>IFERROR(H67/H64-1,"")</x:f>
        <x:v>-0.2389027681673671</x:v>
      </x:c>
      <x:c r="K67" s="40" t="n">
        <x:f>IFERROR(H67/H61-1,"")</x:f>
        <x:v>-0.31665472066360345</x:v>
      </x:c>
      <x:c r="L67" s="40" t="n">
        <x:f>IFERROR(J67-J66,"")</x:f>
        <x:v>-0.05668958443832284</x:v>
      </x:c>
      <x:c r="M67" s="40" t="n">
        <x:f>IFERROR(J67-D67,"")</x:f>
        <x:v>-0.3962009620486794</x:v>
      </x:c>
      <x:c r="N67" s="42" t="str">
        <x:f>IF(J67&lt;0,IF(D67&lt;0,"Down-cycle","Price up / earnings down"),IF(AND(J67&gt;0,L67&lt;0,M67&lt;-0.15),"Late-cycle warning",IF(AND(J67&gt;0,M67&gt;0),"Earnings-led expansion",IF(AND(J67&gt;0,D67&lt;0),"Potential dislocation",IF(AND(J67&gt;0,M67&lt;0),"Price ahead / rerating","Neutral")))))</x:f>
        <x:v>Price up / earnings down</x:v>
      </x:c>
      <x:c r="O67" s="40" t="n">
        <x:v>-0.1367450552703975</x:v>
      </x:c>
      <x:c r="P67" s="40" t="n">
        <x:v>0.022058823529411766</x:v>
      </x:c>
      <x:c r="Q67" s="40" t="n">
        <x:v>0.12307692307692308</x:v>
      </x:c>
      <x:c r="R67" s="40" t="n">
        <x:v>0.8873239436619719</x:v>
      </x:c>
      <x:c r="S67" s="40" t="n">
        <x:v>0.11267605633802813</x:v>
      </x:c>
      <x:c r="T67" s="40" t="n">
        <x:v>0.9117647058823529</x:v>
      </x:c>
      <x:c r="U67" s="40" t="n">
        <x:v>0.48057412312616116</x:v>
      </x:c>
      <x:c r="V67" s="40" t="n">
        <x:v>0.24337797144860113</x:v>
      </x:c>
      <x:c r="W67" s="64" t="str">
        <x:v>Stage 13 – Mixed / Transition</x:v>
      </x:c>
      <x:c r="X67" s="64" t="str">
        <x:v>Rev3M -23.9%; Accel3M -13.7ppt; Stock3M +15.7%; EV/EBITDA 6.0x (89th pct); PeakRatio36M 48%; Multiple3M +50.2%; Earnings-Price Gap -39.6%; CycleHeat 24%. Signals do not fit one dominant state; treat as a transition and require confirmation from the next 1–3 monthly observations.</x:v>
      </x:c>
    </x:row>
    <x:row r="68">
      <x:c r="A68" s="32" t="n">
        <x:v>45046</x:v>
      </x:c>
      <x:c r="B68" s="33" t="n">
        <x:v>0.2853</x:v>
      </x:c>
      <x:c r="C68" s="40" t="n">
        <x:f>IFERROR((1+B68)/(1+B67)-1,"")</x:f>
        <x:v>0.02340950712636336</x:v>
      </x:c>
      <x:c r="D68" s="40" t="n">
        <x:f>IFERROR((1+B68)/(1+B65)-1,"")</x:f>
        <x:v>0.07376775271512104</x:v>
      </x:c>
      <x:c r="E68" s="40" t="n">
        <x:f>IFERROR((1+B68)/(1+B62)-1,"")</x:f>
        <x:v>0.1026938915579958</x:v>
      </x:c>
      <x:c r="F68" s="36" t="n">
        <x:v>6.234188878699999</x:v>
      </x:c>
      <x:c r="G68" s="40" t="n">
        <x:f>IFERROR(F68/F65-1,"")</x:f>
        <x:v>0.1718598364196786</x:v>
      </x:c>
      <x:c r="H68" s="38" t="n">
        <x:v>60167.17991442539</x:v>
      </x:c>
      <x:c r="I68" s="40" t="n">
        <x:f>IFERROR(H68/H67-1,"")</x:f>
        <x:v>0.1298998117928063</x:v>
      </x:c>
      <x:c r="J68" s="40" t="n">
        <x:f>IFERROR(H68/H65-1,"")</x:f>
        <x:v>-0.042188554318966176</x:v>
      </x:c>
      <x:c r="K68" s="40" t="n">
        <x:f>IFERROR(H68/H62-1,"")</x:f>
        <x:v>-0.15230409308478332</x:v>
      </x:c>
      <x:c r="L68" s="40" t="n">
        <x:f>IFERROR(J68-J67,"")</x:f>
        <x:v>0.19671421384840093</x:v>
      </x:c>
      <x:c r="M68" s="40" t="n">
        <x:f>IFERROR(J68-D68,"")</x:f>
        <x:v>-0.11595630703408721</x:v>
      </x:c>
      <x:c r="N68" s="42" t="str">
        <x:f>IF(J68&lt;0,IF(D68&lt;0,"Down-cycle","Price up / earnings down"),IF(AND(J68&gt;0,L68&lt;0,M68&lt;-0.15),"Late-cycle warning",IF(AND(J68&gt;0,M68&gt;0),"Earnings-led expansion",IF(AND(J68&gt;0,D68&lt;0),"Potential dislocation",IF(AND(J68&gt;0,M68&lt;0),"Price ahead / rerating","Neutral")))))</x:f>
        <x:v>Price up / earnings down</x:v>
      </x:c>
      <x:c r="O68" s="40" t="n">
        <x:v>0.07277722444923551</x:v>
      </x:c>
      <x:c r="P68" s="40" t="n">
        <x:v>0.3235294117647059</x:v>
      </x:c>
      <x:c r="Q68" s="40" t="n">
        <x:v>0.6461538461538462</x:v>
      </x:c>
      <x:c r="R68" s="40" t="n">
        <x:v>0.9154929577464789</x:v>
      </x:c>
      <x:c r="S68" s="40" t="n">
        <x:v>0.08450704225352113</x:v>
      </x:c>
      <x:c r="T68" s="40" t="n">
        <x:v>0.6911764705882353</x:v>
      </x:c>
      <x:c r="U68" s="40" t="n">
        <x:v>0.5430006112727425</x:v>
      </x:c>
      <x:c r="V68" s="40" t="n">
        <x:v>0.4299104582244599</x:v>
      </x:c>
      <x:c r="W68" s="64" t="str">
        <x:v>Stage 4 – Price-Led Bottom</x:v>
      </x:c>
      <x:c r="X68" s="64" t="str">
        <x:v>Rev3M -4.2%; Accel3M +7.3ppt; Stock3M +7.4%; EV/EBITDA 6.2x (92th pct); PeakRatio36M 54%; Multiple3M +17.2%; Earnings-Price Gap -11.6%; CycleHeat 43%. EBITDA is still being revised down but improving, while the stock has already turned up—typical price leadership near a bottom.</x:v>
      </x:c>
    </x:row>
    <x:row r="69">
      <x:c r="A69" s="32" t="n">
        <x:v>45077</x:v>
      </x:c>
      <x:c r="B69" s="33" t="n">
        <x:v>0.4011</x:v>
      </x:c>
      <x:c r="C69" s="40" t="n">
        <x:f>IFERROR((1+B69)/(1+B68)-1,"")</x:f>
        <x:v>0.09009569750252866</x:v>
      </x:c>
      <x:c r="D69" s="40" t="n">
        <x:f>IFERROR((1+B69)/(1+B66)-1,"")</x:f>
        <x:v>0.17818701648166835</x:v>
      </x:c>
      <x:c r="E69" s="40" t="n">
        <x:f>IFERROR((1+B69)/(1+B63)-1,"")</x:f>
        <x:v>0.14787809274127484</x:v>
      </x:c>
      <x:c r="F69" s="36" t="n">
        <x:v>6.48147706013876</x:v>
      </x:c>
      <x:c r="G69" s="40" t="n">
        <x:f>IFERROR(F69/F66-1,"")</x:f>
        <x:v>0.1579172024582507</x:v>
      </x:c>
      <x:c r="H69" s="38" t="n">
        <x:v>57216.28847883507</x:v>
      </x:c>
      <x:c r="I69" s="40" t="n">
        <x:f>IFERROR(H69/H68-1,"")</x:f>
        <x:v>-0.04904486864412316</x:v>
      </x:c>
      <x:c r="J69" s="40" t="n">
        <x:f>IFERROR(H69/H66-1,"")</x:f>
        <x:v>0</x:v>
      </x:c>
      <x:c r="K69" s="40" t="n">
        <x:f>IFERROR(H69/H63-1,"")</x:f>
        <x:v>-0.18221318372904427</x:v>
      </x:c>
      <x:c r="L69" s="40" t="n">
        <x:f>IFERROR(J69-J68,"")</x:f>
        <x:v>0.042188554318966176</x:v>
      </x:c>
      <x:c r="M69" s="40" t="n">
        <x:f>IFERROR(J69-D69,"")</x:f>
        <x:v>-0.17818701648166835</x:v>
      </x:c>
      <x:c r="N69" s="42" t="str">
        <x:f>IF(J69&lt;0,IF(D69&lt;0,"Down-cycle","Price up / earnings down"),IF(AND(J69&gt;0,L69&lt;0,M69&lt;-0.15),"Late-cycle warning",IF(AND(J69&gt;0,M69&gt;0),"Earnings-led expansion",IF(AND(J69&gt;0,D69&lt;0),"Potential dislocation",IF(AND(J69&gt;0,M69&lt;0),"Price ahead / rerating","Neutral")))))</x:f>
        <x:v>Neutral</x:v>
      </x:c>
      <x:c r="O69" s="40" t="n">
        <x:v>0.18221318372904427</x:v>
      </x:c>
      <x:c r="P69" s="40" t="n">
        <x:v>0.4411764705882353</x:v>
      </x:c>
      <x:c r="Q69" s="40" t="n">
        <x:v>0.9538461538461539</x:v>
      </x:c>
      <x:c r="R69" s="40" t="n">
        <x:v>0.9507042253521126</x:v>
      </x:c>
      <x:c r="S69" s="40" t="n">
        <x:v>0.04929577464788737</x:v>
      </x:c>
      <x:c r="T69" s="40" t="n">
        <x:v>0.9411764705882353</x:v>
      </x:c>
      <x:c r="U69" s="40" t="n">
        <x:v>0.5163692176191922</x:v>
      </x:c>
      <x:c r="V69" s="40" t="n">
        <x:v>0.5909677522146453</x:v>
      </x:c>
      <x:c r="W69" s="64" t="str">
        <x:v>Stage 13 – Mixed / Transition</x:v>
      </x:c>
      <x:c r="X69" s="64" t="str">
        <x:v>Rev3M +0.0%; Accel3M +18.2ppt; Stock3M +17.8%; EV/EBITDA 6.5x (95th pct); PeakRatio36M 52%; Multiple3M +15.8%; Earnings-Price Gap -17.8%; CycleHeat 59%. Signals do not fit one dominant state; treat as a transition and require confirmation from the next 1–3 monthly observations.</x:v>
      </x:c>
    </x:row>
    <x:row r="70">
      <x:c r="A70" s="32" t="n">
        <x:v>45107</x:v>
      </x:c>
      <x:c r="B70" s="33" t="n">
        <x:v>0.4168</x:v>
      </x:c>
      <x:c r="C70" s="40" t="n">
        <x:f>IFERROR((1+B70)/(1+B69)-1,"")</x:f>
        <x:v>0.011205481407465578</x:v>
      </x:c>
      <x:c r="D70" s="40" t="n">
        <x:f>IFERROR((1+B70)/(1+B67)-1,"")</x:f>
        <x:v>0.1281152958038061</x:v>
      </x:c>
      <x:c r="E70" s="40" t="n">
        <x:f>IFERROR((1+B70)/(1+B64)-1,"")</x:f>
        <x:v>0.3055657943236272</x:v>
      </x:c>
      <x:c r="F70" s="36" t="n">
        <x:v>7.327488858818293</x:v>
      </x:c>
      <x:c r="G70" s="40" t="n">
        <x:f>IFERROR(F70/F67-1,"")</x:f>
        <x:v>0.21470315933356643</x:v>
      </x:c>
      <x:c r="H70" s="38" t="n">
        <x:v>53250.01321927687</x:v>
      </x:c>
      <x:c r="I70" s="40" t="n">
        <x:f>IFERROR(H70/H69-1,"")</x:f>
        <x:v>-0.06932073654210147</x:v>
      </x:c>
      <x:c r="J70" s="40" t="n">
        <x:f>IFERROR(H70/H67-1,"")</x:f>
        <x:v>0</x:v>
      </x:c>
      <x:c r="K70" s="40" t="n">
        <x:f>IFERROR(H70/H64-1,"")</x:f>
        <x:v>-0.2389027681673671</x:v>
      </x:c>
      <x:c r="L70" s="40" t="n">
        <x:f>IFERROR(J70-J69,"")</x:f>
        <x:v>0</x:v>
      </x:c>
      <x:c r="M70" s="40" t="n">
        <x:f>IFERROR(J70-D70,"")</x:f>
        <x:v>-0.1281152958038061</x:v>
      </x:c>
      <x:c r="N70" s="42" t="str">
        <x:f>IF(J70&lt;0,IF(D70&lt;0,"Down-cycle","Price up / earnings down"),IF(AND(J70&gt;0,L70&lt;0,M70&lt;-0.15),"Late-cycle warning",IF(AND(J70&gt;0,M70&gt;0),"Earnings-led expansion",IF(AND(J70&gt;0,D70&lt;0),"Potential dislocation",IF(AND(J70&gt;0,M70&lt;0),"Price ahead / rerating","Neutral")))))</x:f>
        <x:v>Neutral</x:v>
      </x:c>
      <x:c r="O70" s="40" t="n">
        <x:v>0.2389027681673671</x:v>
      </x:c>
      <x:c r="P70" s="40" t="n">
        <x:v>0.4411764705882353</x:v>
      </x:c>
      <x:c r="Q70" s="40" t="n">
        <x:v>0.9846153846153847</x:v>
      </x:c>
      <x:c r="R70" s="40" t="n">
        <x:v>1</x:v>
      </x:c>
      <x:c r="S70" s="40" t="n">
        <x:v>0</x:v>
      </x:c>
      <x:c r="T70" s="40" t="n">
        <x:v>0.8382352941176471</x:v>
      </x:c>
      <x:c r="U70" s="40" t="n">
        <x:v>0.48057412312616116</x:v>
      </x:c>
      <x:c r="V70" s="40" t="n">
        <x:v>0.5682126696832579</x:v>
      </x:c>
      <x:c r="W70" s="64" t="str">
        <x:v>Stage 13 – Mixed / Transition</x:v>
      </x:c>
      <x:c r="X70" s="64" t="str">
        <x:v>Rev3M +0.0%; Accel3M +23.9ppt; Stock3M +12.8%; EV/EBITDA 7.3x (100th pct); PeakRatio36M 48%; Multiple3M +21.5%; Earnings-Price Gap -12.8%; CycleHeat 57%. Signals do not fit one dominant state; treat as a transition and require confirmation from the next 1–3 monthly observations.</x:v>
      </x:c>
    </x:row>
    <x:row r="71">
      <x:c r="A71" s="32" t="n">
        <x:v>45138</x:v>
      </x:c>
      <x:c r="B71" s="33" t="n">
        <x:v>0.3697</x:v>
      </x:c>
      <x:c r="C71" s="40" t="n">
        <x:f>IFERROR((1+B71)/(1+B70)-1,"")</x:f>
        <x:v>-0.03324392998306047</x:v>
      </x:c>
      <x:c r="D71" s="40" t="n">
        <x:f>IFERROR((1+B71)/(1+B68)-1,"")</x:f>
        <x:v>0.06566560336108296</x:v>
      </x:c>
      <x:c r="E71" s="40" t="n">
        <x:f>IFERROR((1+B71)/(1+B65)-1,"")</x:f>
        <x:v>0.14427736006683367</x:v>
      </x:c>
      <x:c r="F71" s="36" t="n">
        <x:v>6.423553793801191</x:v>
      </x:c>
      <x:c r="G71" s="40" t="n">
        <x:f>IFERROR(F71/F68-1,"")</x:f>
        <x:v>0.03037522904514245</x:v>
      </x:c>
      <x:c r="H71" s="38" t="n">
        <x:v>61037.909186969875</x:v>
      </x:c>
      <x:c r="I71" s="40" t="n">
        <x:f>IFERROR(H71/H70-1,"")</x:f>
        <x:v>0.14625153116156842</x:v>
      </x:c>
      <x:c r="J71" s="40" t="n">
        <x:f>IFERROR(H71/H68-1,"")</x:f>
        <x:v>0.014471831217333309</x:v>
      </x:c>
      <x:c r="K71" s="40" t="n">
        <x:f>IFERROR(H71/H65-1,"")</x:f>
        <x:v>-0.028327268739040345</x:v>
      </x:c>
      <x:c r="L71" s="40" t="n">
        <x:f>IFERROR(J71-J70,"")</x:f>
        <x:v>0.014471831217333309</x:v>
      </x:c>
      <x:c r="M71" s="40" t="n">
        <x:f>IFERROR(J71-D71,"")</x:f>
        <x:v>-0.05119377214374965</x:v>
      </x:c>
      <x:c r="N71" s="42" t="str">
        <x:f>IF(J71&lt;0,IF(D71&lt;0,"Down-cycle","Price up / earnings down"),IF(AND(J71&gt;0,L71&lt;0,M71&lt;-0.15),"Late-cycle warning",IF(AND(J71&gt;0,M71&gt;0),"Earnings-led expansion",IF(AND(J71&gt;0,D71&lt;0),"Potential dislocation",IF(AND(J71&gt;0,M71&lt;0),"Price ahead / rerating","Neutral")))))</x:f>
        <x:v>Price ahead / rerating</x:v>
      </x:c>
      <x:c r="O71" s="40" t="n">
        <x:v>0.056660385536299485</x:v>
      </x:c>
      <x:c r="P71" s="40" t="n">
        <x:v>0.47058823529411764</x:v>
      </x:c>
      <x:c r="Q71" s="40" t="n">
        <x:v>0.5538461538461539</x:v>
      </x:c>
      <x:c r="R71" s="40" t="n">
        <x:v>0.9295774647887324</x:v>
      </x:c>
      <x:c r="S71" s="40" t="n">
        <x:v>0.07042253521126762</x:v>
      </x:c>
      <x:c r="T71" s="40" t="n">
        <x:v>0.6764705882352942</x:v>
      </x:c>
      <x:c r="U71" s="40" t="n">
        <x:v>0.5508588244699903</x:v>
      </x:c>
      <x:c r="V71" s="40" t="n">
        <x:v>0.452546045503792</x:v>
      </x:c>
      <x:c r="W71" s="64" t="str">
        <x:v>Stage 5 – Early Recovery</x:v>
      </x:c>
      <x:c r="X71" s="64" t="str">
        <x:v>Rev3M +1.4%; Accel3M +5.7ppt; Stock3M +6.6%; EV/EBITDA 6.4x (93th pct); PeakRatio36M 55%; Multiple3M +3.0%; Earnings-Price Gap -5.1%; CycleHeat 45%. Forward EBITDA revisions have turned positive and are accelerating, but EBITDA remains well below its recent peak.</x:v>
      </x:c>
    </x:row>
    <x:row r="72">
      <x:c r="A72" s="32" t="n">
        <x:v>45169</x:v>
      </x:c>
      <x:c r="B72" s="33" t="n">
        <x:v>0.3128</x:v>
      </x:c>
      <x:c r="C72" s="40" t="n">
        <x:f>IFERROR((1+B72)/(1+B71)-1,"")</x:f>
        <x:v>-0.04154194349127538</x:v>
      </x:c>
      <x:c r="D72" s="40" t="n">
        <x:f>IFERROR((1+B72)/(1+B69)-1,"")</x:f>
        <x:v>-0.06302191135536372</x:v>
      </x:c>
      <x:c r="E72" s="40" t="n">
        <x:f>IFERROR((1+B72)/(1+B66)-1,"")</x:f>
        <x:v>0.10393541876892032</x:v>
      </x:c>
      <x:c r="F72" s="36" t="n">
        <x:v>6.779022921440564</x:v>
      </x:c>
      <x:c r="G72" s="40" t="n">
        <x:f>IFERROR(F72/F69-1,"")</x:f>
        <x:v>0.04590710705924095</x:v>
      </x:c>
      <x:c r="H72" s="38" t="n">
        <x:v>55197.53724448159</x:v>
      </x:c>
      <x:c r="I72" s="40" t="n">
        <x:f>IFERROR(H72/H71-1,"")</x:f>
        <x:v>-0.09568433814792376</x:v>
      </x:c>
      <x:c r="J72" s="40" t="n">
        <x:f>IFERROR(H72/H69-1,"")</x:f>
        <x:v>-0.035282806487880514</x:v>
      </x:c>
      <x:c r="K72" s="40" t="n">
        <x:f>IFERROR(H72/H66-1,"")</x:f>
        <x:v>-0.035282806487880514</x:v>
      </x:c>
      <x:c r="L72" s="40" t="n">
        <x:f>IFERROR(J72-J71,"")</x:f>
        <x:v>-0.04975463770521382</x:v>
      </x:c>
      <x:c r="M72" s="40" t="n">
        <x:f>IFERROR(J72-D72,"")</x:f>
        <x:v>0.02773910486748321</x:v>
      </x:c>
      <x:c r="N72" s="42" t="str">
        <x:f>IF(J72&lt;0,IF(D72&lt;0,"Down-cycle","Price up / earnings down"),IF(AND(J72&gt;0,L72&lt;0,M72&lt;-0.15),"Late-cycle warning",IF(AND(J72&gt;0,M72&gt;0),"Earnings-led expansion",IF(AND(J72&gt;0,D72&lt;0),"Potential dislocation",IF(AND(J72&gt;0,M72&lt;0),"Price ahead / rerating","Neutral")))))</x:f>
        <x:v>Down-cycle</x:v>
      </x:c>
      <x:c r="O72" s="40" t="n">
        <x:v>-0.035282806487880514</x:v>
      </x:c>
      <x:c r="P72" s="40" t="n">
        <x:v>0.35294117647058826</x:v>
      </x:c>
      <x:c r="Q72" s="40" t="n">
        <x:v>0.3384615384615385</x:v>
      </x:c>
      <x:c r="R72" s="40" t="n">
        <x:v>0.9859154929577465</x:v>
      </x:c>
      <x:c r="S72" s="40" t="n">
        <x:v>0.014084507042253502</x:v>
      </x:c>
      <x:c r="T72" s="40" t="n">
        <x:v>0.25</x:v>
      </x:c>
      <x:c r="U72" s="40" t="n">
        <x:v>0.498150262437636</x:v>
      </x:c>
      <x:c r="V72" s="40" t="n">
        <x:v>0.2609616977885412</x:v>
      </x:c>
      <x:c r="W72" s="64" t="str">
        <x:v>Stage 1 – Downturn Acceleration</x:v>
      </x:c>
      <x:c r="X72" s="64" t="str">
        <x:v>Rev3M -3.5%; Accel3M -3.5ppt; Stock3M -6.3%; EV/EBITDA 6.8x (99th pct); PeakRatio36M 50%; Multiple3M +4.6%; Earnings-Price Gap +2.8%; CycleHeat 26%. Forward EBITDA is being cut, revision momentum is still worsening, the stock is falling, and earnings are already well below the prior peak.</x:v>
      </x:c>
    </x:row>
    <x:row r="73">
      <x:c r="A73" s="32" t="n">
        <x:v>45199</x:v>
      </x:c>
      <x:c r="B73" s="33" t="n">
        <x:v>0.3422</x:v>
      </x:c>
      <x:c r="C73" s="40" t="n">
        <x:f>IFERROR((1+B73)/(1+B72)-1,"")</x:f>
        <x:v>0.02239488117001831</x:v>
      </x:c>
      <x:c r="D73" s="40" t="n">
        <x:f>IFERROR((1+B73)/(1+B70)-1,"")</x:f>
        <x:v>-0.05265386787125914</x:v>
      </x:c>
      <x:c r="E73" s="40" t="n">
        <x:f>IFERROR((1+B73)/(1+B67)-1,"")</x:f>
        <x:v>0.06871566207500601</x:v>
      </x:c>
      <x:c r="F73" s="36" t="n">
        <x:v>6.086724269858253</x:v>
      </x:c>
      <x:c r="G73" s="40" t="n">
        <x:f>IFERROR(F73/F70-1,"")</x:f>
        <x:v>-0.16933012289289762</x:v>
      </x:c>
      <x:c r="H73" s="38" t="n">
        <x:v>64648.673583718664</x:v>
      </x:c>
      <x:c r="I73" s="40" t="n">
        <x:f>IFERROR(H73/H72-1,"")</x:f>
        <x:v>0.17122387720625998</x:v>
      </x:c>
      <x:c r="J73" s="40" t="n">
        <x:f>IFERROR(H73/H70-1,"")</x:f>
        <x:v>0.2140592964269048</x:v>
      </x:c>
      <x:c r="K73" s="40" t="n">
        <x:f>IFERROR(H73/H67-1,"")</x:f>
        <x:v>0.2140592964269048</x:v>
      </x:c>
      <x:c r="L73" s="40" t="n">
        <x:f>IFERROR(J73-J72,"")</x:f>
        <x:v>0.2493421029147853</x:v>
      </x:c>
      <x:c r="M73" s="40" t="n">
        <x:f>IFERROR(J73-D73,"")</x:f>
        <x:v>0.26671316429816394</x:v>
      </x:c>
      <x:c r="N73" s="42" t="str">
        <x:f>IF(J73&lt;0,IF(D73&lt;0,"Down-cycle","Price up / earnings down"),IF(AND(J73&gt;0,L73&lt;0,M73&lt;-0.15),"Late-cycle warning",IF(AND(J73&gt;0,M73&gt;0),"Earnings-led expansion",IF(AND(J73&gt;0,D73&lt;0),"Potential dislocation",IF(AND(J73&gt;0,M73&lt;0),"Price ahead / rerating","Neutral")))))</x:f>
        <x:v>Earnings-led expansion</x:v>
      </x:c>
      <x:c r="O73" s="40" t="n">
        <x:v>0.2140592964269048</x:v>
      </x:c>
      <x:c r="P73" s="40" t="n">
        <x:v>0.9852941176470589</x:v>
      </x:c>
      <x:c r="Q73" s="40" t="n">
        <x:v>0.9692307692307692</x:v>
      </x:c>
      <x:c r="R73" s="40" t="n">
        <x:v>0.9014084507042254</x:v>
      </x:c>
      <x:c r="S73" s="40" t="n">
        <x:v>0.09859154929577463</x:v>
      </x:c>
      <x:c r="T73" s="40" t="n">
        <x:v>0.27941176470588236</x:v>
      </x:c>
      <x:c r="U73" s="40" t="n">
        <x:v>0.583445481803524</x:v>
      </x:c>
      <x:c r="V73" s="40" t="n">
        <x:v>0.6627612962844943</x:v>
      </x:c>
      <x:c r="W73" s="64" t="str">
        <x:v>Stage 5 – Early Recovery</x:v>
      </x:c>
      <x:c r="X73" s="64" t="str">
        <x:v>Rev3M +21.4%; Accel3M +21.4ppt; Stock3M -5.3%; EV/EBITDA 6.1x (90th pct); PeakRatio36M 58%; Multiple3M -16.9%; Earnings-Price Gap +26.7%; CycleHeat 66%. Forward EBITDA revisions have turned positive and are accelerating, but EBITDA remains well below its recent peak.</x:v>
      </x:c>
    </x:row>
    <x:row r="74">
      <x:c r="A74" s="32" t="n">
        <x:v>45230</x:v>
      </x:c>
      <x:c r="B74" s="33" t="n">
        <x:v>0.3128</x:v>
      </x:c>
      <x:c r="C74" s="40" t="n">
        <x:f>IFERROR((1+B74)/(1+B73)-1,"")</x:f>
        <x:v>-0.021904336164506155</x:v>
      </x:c>
      <x:c r="D74" s="40" t="n">
        <x:f>IFERROR((1+B74)/(1+B71)-1,"")</x:f>
        <x:v>-0.04154194349127538</x:v>
      </x:c>
      <x:c r="E74" s="40" t="n">
        <x:f>IFERROR((1+B74)/(1+B68)-1,"")</x:f>
        <x:v>0.021395783085661035</x:v>
      </x:c>
      <x:c r="F74" s="36" t="n">
        <x:v>5.530931992635974</x:v>
      </x:c>
      <x:c r="G74" s="40" t="n">
        <x:f>IFERROR(F74/F71-1,"")</x:f>
        <x:v>-0.13896074195355979</x:v>
      </x:c>
      <x:c r="H74" s="38" t="n">
        <x:v>67982.88526141304</x:v>
      </x:c>
      <x:c r="I74" s="40" t="n">
        <x:f>IFERROR(H74/H73-1,"")</x:f>
        <x:v>0.05157432462054534</x:v>
      </x:c>
      <x:c r="J74" s="40" t="n">
        <x:f>IFERROR(H74/H71-1,"")</x:f>
        <x:v>0.11378135599582029</x:v>
      </x:c>
      <x:c r="K74" s="40" t="n">
        <x:f>IFERROR(H74/H68-1,"")</x:f>
        <x:v>0.1298998117928043</x:v>
      </x:c>
      <x:c r="L74" s="40" t="n">
        <x:f>IFERROR(J74-J73,"")</x:f>
        <x:v>-0.10027794043108451</x:v>
      </x:c>
      <x:c r="M74" s="40" t="n">
        <x:f>IFERROR(J74-D74,"")</x:f>
        <x:v>0.15532329948709567</x:v>
      </x:c>
      <x:c r="N74" s="42" t="str">
        <x:f>IF(J74&lt;0,IF(D74&lt;0,"Down-cycle","Price up / earnings down"),IF(AND(J74&gt;0,L74&lt;0,M74&lt;-0.15),"Late-cycle warning",IF(AND(J74&gt;0,M74&gt;0),"Earnings-led expansion",IF(AND(J74&gt;0,D74&lt;0),"Potential dislocation",IF(AND(J74&gt;0,M74&lt;0),"Price ahead / rerating","Neutral")))))</x:f>
        <x:v>Earnings-led expansion</x:v>
      </x:c>
      <x:c r="O74" s="40" t="n">
        <x:v>0.09930952477848698</x:v>
      </x:c>
      <x:c r="P74" s="40" t="n">
        <x:v>0.8529411764705882</x:v>
      </x:c>
      <x:c r="Q74" s="40" t="n">
        <x:v>0.7692307692307693</x:v>
      </x:c>
      <x:c r="R74" s="40" t="n">
        <x:v>0.8028169014084507</x:v>
      </x:c>
      <x:c r="S74" s="40" t="n">
        <x:v>0.19718309859154926</x:v>
      </x:c>
      <x:c r="T74" s="40" t="n">
        <x:v>0.3382352941176471</x:v>
      </x:c>
      <x:c r="U74" s="40" t="n">
        <x:v>0.6135362884804494</x:v>
      </x:c>
      <x:c r="V74" s="40" t="n">
        <x:v>0.5979207826142374</x:v>
      </x:c>
      <x:c r="W74" s="64" t="str">
        <x:v>Stage 5 – Early Recovery</x:v>
      </x:c>
      <x:c r="X74" s="64" t="str">
        <x:v>Rev3M +11.4%; Accel3M +9.9ppt; Stock3M -4.2%; EV/EBITDA 5.5x (80th pct); PeakRatio36M 61%; Multiple3M -13.9%; Earnings-Price Gap +15.5%; CycleHeat 60%. Forward EBITDA revisions have turned positive and are accelerating, but EBITDA remains well below its recent peak.</x:v>
      </x:c>
    </x:row>
    <x:row r="75">
      <x:c r="A75" s="32" t="n">
        <x:v>45260</x:v>
      </x:c>
      <x:c r="B75" s="33" t="n">
        <x:v>0.4286</x:v>
      </x:c>
      <x:c r="C75" s="40" t="n">
        <x:f>IFERROR((1+B75)/(1+B74)-1,"")</x:f>
        <x:v>0.08820840950639841</x:v>
      </x:c>
      <x:c r="D75" s="40" t="n">
        <x:f>IFERROR((1+B75)/(1+B72)-1,"")</x:f>
        <x:v>0.08820840950639841</x:v>
      </x:c>
      <x:c r="E75" s="40" t="n">
        <x:f>IFERROR((1+B75)/(1+B69)-1,"")</x:f>
        <x:v>0.01962743558632485</x:v>
      </x:c>
      <x:c r="F75" s="36" t="n">
        <x:v>6.014305226316274</x:v>
      </x:c>
      <x:c r="G75" s="40" t="n">
        <x:f>IFERROR(F75/F72-1,"")</x:f>
        <x:v>-0.11280647727353976</x:v>
      </x:c>
      <x:c r="H75" s="38" t="n">
        <x:v>67982.88526141304</x:v>
      </x:c>
      <x:c r="I75" s="40" t="n">
        <x:f>IFERROR(H75/H74-1,"")</x:f>
        <x:v>0</x:v>
      </x:c>
      <x:c r="J75" s="40" t="n">
        <x:f>IFERROR(H75/H72-1,"")</x:f>
        <x:v>0.23162895765262936</x:v>
      </x:c>
      <x:c r="K75" s="40" t="n">
        <x:f>IFERROR(H75/H69-1,"")</x:f>
        <x:v>0.18817363147490163</x:v>
      </x:c>
      <x:c r="L75" s="40" t="n">
        <x:f>IFERROR(J75-J74,"")</x:f>
        <x:v>0.11784760165680908</x:v>
      </x:c>
      <x:c r="M75" s="40" t="n">
        <x:f>IFERROR(J75-D75,"")</x:f>
        <x:v>0.14342054814623095</x:v>
      </x:c>
      <x:c r="N75" s="42" t="str">
        <x:f>IF(J75&lt;0,IF(D75&lt;0,"Down-cycle","Price up / earnings down"),IF(AND(J75&gt;0,L75&lt;0,M75&lt;-0.15),"Late-cycle warning",IF(AND(J75&gt;0,M75&gt;0),"Earnings-led expansion",IF(AND(J75&gt;0,D75&lt;0),"Potential dislocation",IF(AND(J75&gt;0,M75&lt;0),"Price ahead / rerating","Neutral")))))</x:f>
        <x:v>Earnings-led expansion</x:v>
      </x:c>
      <x:c r="O75" s="40" t="n">
        <x:v>0.2669117641405099</x:v>
      </x:c>
      <x:c r="P75" s="40" t="n">
        <x:v>1</x:v>
      </x:c>
      <x:c r="Q75" s="40" t="n">
        <x:v>1</x:v>
      </x:c>
      <x:c r="R75" s="40" t="n">
        <x:v>0.8732394366197183</x:v>
      </x:c>
      <x:c r="S75" s="40" t="n">
        <x:v>0.12676056338028174</x:v>
      </x:c>
      <x:c r="T75" s="40" t="n">
        <x:v>0.75</x:v>
      </x:c>
      <x:c r="U75" s="40" t="n">
        <x:v>0.6135362884804494</x:v>
      </x:c>
      <x:c r="V75" s="40" t="n">
        <x:v>0.7753521126760563</x:v>
      </x:c>
      <x:c r="W75" s="64" t="str">
        <x:v>Stage 5 – Early Recovery</x:v>
      </x:c>
      <x:c r="X75" s="64" t="str">
        <x:v>Rev3M +23.2%; Accel3M +26.7ppt; Stock3M +8.8%; EV/EBITDA 6.0x (87th pct); PeakRatio36M 61%; Multiple3M -11.3%; Earnings-Price Gap +14.3%; CycleHeat 78%. Forward EBITDA revisions have turned positive and are accelerating, but EBITDA remains well below its recent peak.</x:v>
      </x:c>
    </x:row>
    <x:row r="76">
      <x:c r="A76" s="32" t="n">
        <x:v>45291</x:v>
      </x:c>
      <x:c r="B76" s="33" t="n">
        <x:v>0.5404</x:v>
      </x:c>
      <x:c r="C76" s="40" t="n">
        <x:f>IFERROR((1+B76)/(1+B75)-1,"")</x:f>
        <x:v>0.07825843483130357</x:v>
      </x:c>
      <x:c r="D76" s="40" t="n">
        <x:f>IFERROR((1+B76)/(1+B73)-1,"")</x:f>
        <x:v>0.14766800774847266</x:v>
      </x:c>
      <x:c r="E76" s="40" t="n">
        <x:f>IFERROR((1+B76)/(1+B70)-1,"")</x:f>
        <x:v>0.0872388481084132</x:v>
      </x:c>
      <x:c r="F76" s="36" t="n">
        <x:v>6.48147706013876</x:v>
      </x:c>
      <x:c r="G76" s="40" t="n">
        <x:f>IFERROR(F76/F73-1,"")</x:f>
        <x:v>0.06485471869250614</x:v>
      </x:c>
      <x:c r="H76" s="38" t="n">
        <x:v>70469.2377399398</x:v>
      </x:c>
      <x:c r="I76" s="40" t="n">
        <x:f>IFERROR(H76/H75-1,"")</x:f>
        <x:v>0.0365732120513278</x:v>
      </x:c>
      <x:c r="J76" s="40" t="n">
        <x:f>IFERROR(H76/H73-1,"")</x:f>
        <x:v>0.09003377538262436</x:v>
      </x:c>
      <x:c r="K76" s="40" t="n">
        <x:f>IFERROR(H76/H70-1,"")</x:f>
        <x:v>0.3233656384225918</x:v>
      </x:c>
      <x:c r="L76" s="40" t="n">
        <x:f>IFERROR(J76-J75,"")</x:f>
        <x:v>-0.141595182270005</x:v>
      </x:c>
      <x:c r="M76" s="40" t="n">
        <x:f>IFERROR(J76-D76,"")</x:f>
        <x:v>-0.057634232365848304</x:v>
      </x:c>
      <x:c r="N76" s="42" t="str">
        <x:f>IF(J76&lt;0,IF(D76&lt;0,"Down-cycle","Price up / earnings down"),IF(AND(J76&gt;0,L76&lt;0,M76&lt;-0.15),"Late-cycle warning",IF(AND(J76&gt;0,M76&gt;0),"Earnings-led expansion",IF(AND(J76&gt;0,D76&lt;0),"Potential dislocation",IF(AND(J76&gt;0,M76&lt;0),"Price ahead / rerating","Neutral")))))</x:f>
        <x:v>Price ahead / rerating</x:v>
      </x:c>
      <x:c r="O76" s="40" t="n">
        <x:v>-0.12402552104428044</x:v>
      </x:c>
      <x:c r="P76" s="40" t="n">
        <x:v>0.7720588235294118</x:v>
      </x:c>
      <x:c r="Q76" s="40" t="n">
        <x:v>0.15384615384615385</x:v>
      </x:c>
      <x:c r="R76" s="40" t="n">
        <x:v>0.9507042253521126</x:v>
      </x:c>
      <x:c r="S76" s="40" t="n">
        <x:v>0.04929577464788737</x:v>
      </x:c>
      <x:c r="T76" s="40" t="n">
        <x:v>0.8823529411764706</x:v>
      </x:c>
      <x:c r="U76" s="40" t="n">
        <x:v>0.6359752812602295</x:v>
      </x:c>
      <x:c r="V76" s="40" t="n">
        <x:v>0.4950118698617042</x:v>
      </x:c>
      <x:c r="W76" s="64" t="str">
        <x:v>Stage 13 – Mixed / Transition</x:v>
      </x:c>
      <x:c r="X76" s="64" t="str">
        <x:v>Rev3M +9.0%; Accel3M -12.4ppt; Stock3M +14.8%; EV/EBITDA 6.5x (95th pct); PeakRatio36M 64%; Multiple3M +6.5%; Earnings-Price Gap -5.8%; CycleHeat 50%. Signals do not fit one dominant state; treat as a transition and require confirmation from the next 1–3 monthly observations.</x:v>
      </x:c>
    </x:row>
    <x:row r="77">
      <x:c r="A77" s="32" t="n">
        <x:v>45322</x:v>
      </x:c>
      <x:c r="B77" s="33" t="n">
        <x:v>0.4266</x:v>
      </x:c>
      <x:c r="C77" s="40" t="n">
        <x:f>IFERROR((1+B77)/(1+B76)-1,"")</x:f>
        <x:v>-0.07387691508699035</x:v>
      </x:c>
      <x:c r="D77" s="40" t="n">
        <x:f>IFERROR((1+B77)/(1+B74)-1,"")</x:f>
        <x:v>0.08668494820231576</x:v>
      </x:c>
      <x:c r="E77" s="40" t="n">
        <x:f>IFERROR((1+B77)/(1+B71)-1,"")</x:f>
        <x:v>0.0415419434912756</x:v>
      </x:c>
      <x:c r="F77" s="36" t="n">
        <x:v>5.465125692392353</x:v>
      </x:c>
      <x:c r="G77" s="40" t="n">
        <x:f>IFERROR(F77/F74-1,"")</x:f>
        <x:v>-0.011897868267271683</x:v>
      </x:c>
      <x:c r="H77" s="38" t="n">
        <x:v>77367.67128546053</x:v>
      </x:c>
      <x:c r="I77" s="40" t="n">
        <x:f>IFERROR(H77/H76-1,"")</x:f>
        <x:v>0.09789283617596034</x:v>
      </x:c>
      <x:c r="J77" s="40" t="n">
        <x:f>IFERROR(H77/H74-1,"")</x:f>
        <x:v>0.13804630368305748</x:v>
      </x:c>
      <x:c r="K77" s="40" t="n">
        <x:f>IFERROR(H77/H71-1,"")</x:f>
        <x:v>0.267534755302147</x:v>
      </x:c>
      <x:c r="L77" s="40" t="n">
        <x:f>IFERROR(J77-J76,"")</x:f>
        <x:v>0.04801252830043312</x:v>
      </x:c>
      <x:c r="M77" s="40" t="n">
        <x:f>IFERROR(J77-D77,"")</x:f>
        <x:v>0.05136135548074172</x:v>
      </x:c>
      <x:c r="N77" s="42" t="str">
        <x:f>IF(J77&lt;0,IF(D77&lt;0,"Down-cycle","Price up / earnings down"),IF(AND(J77&gt;0,L77&lt;0,M77&lt;-0.15),"Late-cycle warning",IF(AND(J77&gt;0,M77&gt;0),"Earnings-led expansion",IF(AND(J77&gt;0,D77&lt;0),"Potential dislocation",IF(AND(J77&gt;0,M77&lt;0),"Price ahead / rerating","Neutral")))))</x:f>
        <x:v>Earnings-led expansion</x:v>
      </x:c>
      <x:c r="O77" s="40" t="n">
        <x:v>0.024264947687237193</x:v>
      </x:c>
      <x:c r="P77" s="40" t="n">
        <x:v>0.9117647058823529</x:v>
      </x:c>
      <x:c r="Q77" s="40" t="n">
        <x:v>0.49528653407956463</x:v>
      </x:c>
      <x:c r="R77" s="40" t="n">
        <x:v>0.7984247082116961</x:v>
      </x:c>
      <x:c r="S77" s="40" t="n">
        <x:v>0.2015752917883039</x:v>
      </x:c>
      <x:c r="T77" s="40" t="n">
        <x:v>0.7478697954215028</x:v>
      </x:c>
      <x:c r="U77" s="40" t="n">
        <x:v>0.6982327052805976</x:v>
      </x:c>
      <x:c r="V77" s="40" t="n">
        <x:v>0.6328282980206761</x:v>
      </x:c>
      <x:c r="W77" s="64" t="str">
        <x:v>Stage 5 – Early Recovery</x:v>
      </x:c>
      <x:c r="X77" s="64" t="str">
        <x:v>Rev3M +13.8%; Accel3M +2.4ppt; Stock3M +8.7%; EV/EBITDA 5.5x (80th pct); PeakRatio36M 70%; Multiple3M -1.2%; Earnings-Price Gap +5.1%; CycleHeat 63%. Forward EBITDA revisions have turned positive and are accelerating, but EBITDA remains well below its recent peak.</x:v>
      </x:c>
    </x:row>
    <x:row r="78">
      <x:c r="A78" s="32" t="n">
        <x:v>45351</x:v>
      </x:c>
      <x:c r="B78" s="33" t="n">
        <x:v>0.4403</x:v>
      </x:c>
      <x:c r="C78" s="40" t="n">
        <x:f>IFERROR((1+B78)/(1+B77)-1,"")</x:f>
        <x:v>0.009603252488433967</x:v>
      </x:c>
      <x:c r="D78" s="40" t="n">
        <x:f>IFERROR((1+B78)/(1+B75)-1,"")</x:f>
        <x:v>0.00818983620327618</x:v>
      </x:c>
      <x:c r="E78" s="40" t="n">
        <x:f>IFERROR((1+B78)/(1+B72)-1,"")</x:f>
        <x:v>0.09712065813528348</x:v>
      </x:c>
      <x:c r="F78" s="36" t="n">
        <x:v>5.530931992635974</x:v>
      </x:c>
      <x:c r="G78" s="40" t="n">
        <x:f>IFERROR(F78/F75-1,"")</x:f>
        <x:v>-0.08037058571042355</x:v>
      </x:c>
      <x:c r="H78" s="38" t="n">
        <x:v>76263.9916700513</x:v>
      </x:c>
      <x:c r="I78" s="40" t="n">
        <x:f>IFERROR(H78/H77-1,"")</x:f>
        <x:v>-0.014265384973744744</x:v>
      </x:c>
      <x:c r="J78" s="40" t="n">
        <x:f>IFERROR(H78/H75-1,"")</x:f>
        <x:v>0.12181163504307158</x:v>
      </x:c>
      <x:c r="K78" s="40" t="n">
        <x:f>IFERROR(H78/H72-1,"")</x:f>
        <x:v>0.38165569475069017</x:v>
      </x:c>
      <x:c r="L78" s="40" t="n">
        <x:f>IFERROR(J78-J77,"")</x:f>
        <x:v>-0.016234668639985905</x:v>
      </x:c>
      <x:c r="M78" s="40" t="n">
        <x:f>IFERROR(J78-D78,"")</x:f>
        <x:v>0.1136217988397954</x:v>
      </x:c>
      <x:c r="N78" s="42" t="str">
        <x:f>IF(J78&lt;0,IF(D78&lt;0,"Down-cycle","Price up / earnings down"),IF(AND(J78&gt;0,L78&lt;0,M78&lt;-0.15),"Late-cycle warning",IF(AND(J78&gt;0,M78&gt;0),"Earnings-led expansion",IF(AND(J78&gt;0,D78&lt;0),"Potential dislocation",IF(AND(J78&gt;0,M78&lt;0),"Price ahead / rerating","Neutral")))))</x:f>
        <x:v>Earnings-led expansion</x:v>
      </x:c>
      <x:c r="O78" s="40" t="n">
        <x:v>-0.10981732260955779</x:v>
      </x:c>
      <x:c r="P78" s="40" t="n">
        <x:v>0.8823529411764706</x:v>
      </x:c>
      <x:c r="Q78" s="40" t="n">
        <x:v>0.20084502895679843</x:v>
      </x:c>
      <x:c r="R78" s="40" t="n">
        <x:v>0.8028169014084507</x:v>
      </x:c>
      <x:c r="S78" s="40" t="n">
        <x:v>0.19718309859154926</x:v>
      </x:c>
      <x:c r="T78" s="40" t="n">
        <x:v>0.5076451927353881</x:v>
      </x:c>
      <x:c r="U78" s="40" t="n">
        <x:v>0.6882721469385106</x:v>
      </x:c>
      <x:c r="V78" s="40" t="n">
        <x:v>0.5000004449163518</x:v>
      </x:c>
      <x:c r="W78" s="64" t="str">
        <x:v>Stage 13 – Mixed / Transition</x:v>
      </x:c>
      <x:c r="X78" s="64" t="str">
        <x:v>Rev3M +12.2%; Accel3M -11.0ppt; Stock3M +0.8%; EV/EBITDA 5.5x (80th pct); PeakRatio36M 69%; Multiple3M -8.0%; Earnings-Price Gap +11.4%; CycleHeat 50%. Signals do not fit one dominant state; treat as a transition and require confirmation from the next 1–3 monthly observations.</x:v>
      </x:c>
    </x:row>
    <x:row r="79">
      <x:c r="A79" s="32" t="n">
        <x:v>45382</x:v>
      </x:c>
      <x:c r="B79" s="33" t="n">
        <x:v>0.617</x:v>
      </x:c>
      <x:c r="C79" s="40" t="n">
        <x:f>IFERROR((1+B79)/(1+B78)-1,"")</x:f>
        <x:v>0.12268277442199538</x:v>
      </x:c>
      <x:c r="D79" s="40" t="n">
        <x:f>IFERROR((1+B79)/(1+B76)-1,"")</x:f>
        <x:v>0.0497273435471306</x:v>
      </x:c>
      <x:c r="E79" s="40" t="n">
        <x:f>IFERROR((1+B79)/(1+B73)-1,"")</x:f>
        <x:v>0.20473848904783187</x:v>
      </x:c>
      <x:c r="F79" s="36" t="n">
        <x:v>6.086724269858253</x:v>
      </x:c>
      <x:c r="G79" s="40" t="n">
        <x:f>IFERROR(F79/F76-1,"")</x:f>
        <x:v>-0.06090475776088844</x:v>
      </x:c>
      <x:c r="H79" s="38" t="n">
        <x:v>77367.67128546053</x:v>
      </x:c>
      <x:c r="I79" s="40" t="n">
        <x:f>IFERROR(H79/H78-1,"")</x:f>
        <x:v>0.014471831217335085</x:v>
      </x:c>
      <x:c r="J79" s="40" t="n">
        <x:f>IFERROR(H79/H76-1,"")</x:f>
        <x:v>0.09789283617596034</x:v>
      </x:c>
      <x:c r="K79" s="40" t="n">
        <x:f>IFERROR(H79/H73-1,"")</x:f>
        <x:v>0.19674027318241927</x:v>
      </x:c>
      <x:c r="L79" s="40" t="n">
        <x:f>IFERROR(J79-J78,"")</x:f>
        <x:v>-0.023918798867111235</x:v>
      </x:c>
      <x:c r="M79" s="40" t="n">
        <x:f>IFERROR(J79-D79,"")</x:f>
        <x:v>0.04816549262882974</x:v>
      </x:c>
      <x:c r="N79" s="42" t="str">
        <x:f>IF(J79&lt;0,IF(D79&lt;0,"Down-cycle","Price up / earnings down"),IF(AND(J79&gt;0,L79&lt;0,M79&lt;-0.15),"Late-cycle warning",IF(AND(J79&gt;0,M79&gt;0),"Earnings-led expansion",IF(AND(J79&gt;0,D79&lt;0),"Potential dislocation",IF(AND(J79&gt;0,M79&lt;0),"Price ahead / rerating","Neutral")))))</x:f>
        <x:v>Earnings-led expansion</x:v>
      </x:c>
      <x:c r="O79" s="40" t="n">
        <x:v>0.007859060793335981</x:v>
      </x:c>
      <x:c r="P79" s="40" t="n">
        <x:v>0.8235294117647055</x:v>
      </x:c>
      <x:c r="Q79" s="40" t="n">
        <x:v>0.4719026115512164</x:v>
      </x:c>
      <x:c r="R79" s="40" t="n">
        <x:v>0.9014084507042254</x:v>
      </x:c>
      <x:c r="S79" s="40" t="n">
        <x:v>0.09859154929577463</x:v>
      </x:c>
      <x:c r="T79" s="40" t="n">
        <x:v>0.6019795715536388</x:v>
      </x:c>
      <x:c r="U79" s="40" t="n">
        <x:v>0.6982327052805976</x:v>
      </x:c>
      <x:c r="V79" s="40" t="n">
        <x:v>0.5463251711753336</x:v>
      </x:c>
      <x:c r="W79" s="64" t="str">
        <x:v>Stage 5 – Early Recovery</x:v>
      </x:c>
      <x:c r="X79" s="64" t="str">
        <x:v>Rev3M +9.8%; Accel3M +0.8ppt; Stock3M +5.0%; EV/EBITDA 6.1x (90th pct); PeakRatio36M 70%; Multiple3M -6.1%; Earnings-Price Gap +4.8%; CycleHeat 55%. Forward EBITDA revisions have turned positive and are accelerating, but EBITDA remains well below its recent peak.</x:v>
      </x:c>
    </x:row>
    <x:row r="80">
      <x:c r="A80" s="32" t="n">
        <x:v>45412</x:v>
      </x:c>
      <x:c r="B80" s="33" t="n">
        <x:v>0.5208</x:v>
      </x:c>
      <x:c r="C80" s="40" t="n">
        <x:f>IFERROR((1+B80)/(1+B79)-1,"")</x:f>
        <x:v>-0.05949288806431663</x:v>
      </x:c>
      <x:c r="D80" s="40" t="n">
        <x:f>IFERROR((1+B80)/(1+B77)-1,"")</x:f>
        <x:v>0.0660311229496704</x:v>
      </x:c>
      <x:c r="E80" s="40" t="n">
        <x:f>IFERROR((1+B80)/(1+B74)-1,"")</x:f>
        <x:v>0.1584399756246191</x:v>
      </x:c>
      <x:c r="F80" s="36" t="n">
        <x:v>5.335852640487697</x:v>
      </x:c>
      <x:c r="G80" s="40" t="n">
        <x:f>IFERROR(F80/F77-1,"")</x:f>
        <x:v>-0.023654177265238108</x:v>
      </x:c>
      <x:c r="H80" s="38" t="n">
        <x:v>88682.81167336405</x:v>
      </x:c>
      <x:c r="I80" s="40" t="n">
        <x:f>IFERROR(H80/H79-1,"")</x:f>
        <x:v>0.14625153116156842</x:v>
      </x:c>
      <x:c r="J80" s="40" t="n">
        <x:f>IFERROR(H80/H77-1,"")</x:f>
        <x:v>0.14625153116156842</x:v>
      </x:c>
      <x:c r="K80" s="40" t="n">
        <x:f>IFERROR(H80/H74-1,"")</x:f>
        <x:v>0.30448731812946805</x:v>
      </x:c>
      <x:c r="L80" s="40" t="n">
        <x:f>IFERROR(J80-J79,"")</x:f>
        <x:v>0.048358694985608075</x:v>
      </x:c>
      <x:c r="M80" s="40" t="n">
        <x:f>IFERROR(J80-D80,"")</x:f>
        <x:v>0.08022040821189802</x:v>
      </x:c>
      <x:c r="N80" s="42" t="str">
        <x:f>IF(J80&lt;0,IF(D80&lt;0,"Down-cycle","Price up / earnings down"),IF(AND(J80&gt;0,L80&lt;0,M80&lt;-0.15),"Late-cycle warning",IF(AND(J80&gt;0,M80&gt;0),"Earnings-led expansion",IF(AND(J80&gt;0,D80&lt;0),"Potential dislocation",IF(AND(J80&gt;0,M80&lt;0),"Price ahead / rerating","Neutral")))))</x:f>
        <x:v>Earnings-led expansion</x:v>
      </x:c>
      <x:c r="O80" s="40" t="n">
        <x:v>0.008205227478510935</x:v>
      </x:c>
      <x:c r="P80" s="40" t="n">
        <x:v>0.9190912351986587</x:v>
      </x:c>
      <x:c r="Q80" s="40" t="n">
        <x:v>0.47235911946595527</x:v>
      </x:c>
      <x:c r="R80" s="40" t="n">
        <x:v>0.7897964732707052</x:v>
      </x:c>
      <x:c r="S80" s="40" t="n">
        <x:v>0.21020352672929477</x:v>
      </x:c>
      <x:c r="T80" s="40" t="n">
        <x:v>0.6771340280007908</x:v>
      </x:c>
      <x:c r="U80" s="40" t="n">
        <x:v>0.8003503075349692</x:v>
      </x:c>
      <x:c r="V80" s="40" t="n">
        <x:v>0.6172392231320365</x:v>
      </x:c>
      <x:c r="W80" s="64" t="str">
        <x:v>Stage 7 – Earnings Acceleration</x:v>
      </x:c>
      <x:c r="X80" s="64" t="str">
        <x:v>Rev3M +14.6%; Accel3M +0.8ppt; Stock3M +6.6%; EV/EBITDA 5.3x (79th pct); PeakRatio36M 80%; Multiple3M -2.4%; Earnings-Price Gap +8.0%; CycleHeat 62%. EBITDA revision strength is in a high historical percentile and revision momentum is still accelerating.</x:v>
      </x:c>
    </x:row>
    <x:row r="81">
      <x:c r="A81" s="32" t="n">
        <x:v>45443</x:v>
      </x:c>
      <x:c r="B81" s="33" t="n">
        <x:v>0.4423</x:v>
      </x:c>
      <x:c r="C81" s="40" t="n">
        <x:f>IFERROR((1+B81)/(1+B80)-1,"")</x:f>
        <x:v>-0.05161756970015785</x:v>
      </x:c>
      <x:c r="D81" s="40" t="n">
        <x:f>IFERROR((1+B81)/(1+B78)-1,"")</x:f>
        <x:v>0.0013885995973059728</x:v>
      </x:c>
      <x:c r="E81" s="40" t="n">
        <x:f>IFERROR((1+B81)/(1+B75)-1,"")</x:f>
        <x:v>0.009589808203835926</x:v>
      </x:c>
      <x:c r="F81" s="36" t="n">
        <x:v>4.677610178925119</x:v>
      </x:c>
      <x:c r="G81" s="40" t="n">
        <x:f>IFERROR(F81/F78-1,"")</x:f>
        <x:v>-0.1542817403734109</x:v>
      </x:c>
      <x:c r="H81" s="38" t="n">
        <x:v>91926.2269500021</x:v>
      </x:c>
      <x:c r="I81" s="40" t="n">
        <x:f>IFERROR(H81/H80-1,"")</x:f>
        <x:v>0.03657321205132935</x:v>
      </x:c>
      <x:c r="J81" s="40" t="n">
        <x:f>IFERROR(H81/H78-1,"")</x:f>
        <x:v>0.20536867972649442</x:v>
      </x:c>
      <x:c r="K81" s="40" t="n">
        <x:f>IFERROR(H81/H75-1,"")</x:f>
        <x:v>0.35219660943368725</x:v>
      </x:c>
      <x:c r="L81" s="40" t="n">
        <x:f>IFERROR(J81-J80,"")</x:f>
        <x:v>0.059117148564926</x:v>
      </x:c>
      <x:c r="M81" s="40" t="n">
        <x:f>IFERROR(J81-D81,"")</x:f>
        <x:v>0.20398008012918845</x:v>
      </x:c>
      <x:c r="N81" s="42" t="str">
        <x:f>IF(J81&lt;0,IF(D81&lt;0,"Down-cycle","Price up / earnings down"),IF(AND(J81&gt;0,L81&lt;0,M81&lt;-0.15),"Late-cycle warning",IF(AND(J81&gt;0,M81&gt;0),"Earnings-led expansion",IF(AND(J81&gt;0,D81&lt;0),"Potential dislocation",IF(AND(J81&gt;0,M81&lt;0),"Price ahead / rerating","Neutral")))))</x:f>
        <x:v>Earnings-led expansion</x:v>
      </x:c>
      <x:c r="O81" s="40" t="n">
        <x:v>0.08355704468342284</x:v>
      </x:c>
      <x:c r="P81" s="40" t="n">
        <x:v>0.9823105309541769</x:v>
      </x:c>
      <x:c r="Q81" s="40" t="n">
        <x:v>0.6768684003108455</x:v>
      </x:c>
      <x:c r="R81" s="40" t="n">
        <x:v>0.704225352112676</x:v>
      </x:c>
      <x:c r="S81" s="40" t="n">
        <x:v>0.295774647887324</x:v>
      </x:c>
      <x:c r="T81" s="40" t="n">
        <x:v>0.49435577779295725</x:v>
      </x:c>
      <x:c r="U81" s="40" t="n">
        <x:v>0.8296216890477923</x:v>
      </x:c>
      <x:c r="V81" s="40" t="n">
        <x:v>0.6710518710477296</x:v>
      </x:c>
      <x:c r="W81" s="64" t="str">
        <x:v>Stage 7 – Earnings Acceleration</x:v>
      </x:c>
      <x:c r="X81" s="64" t="str">
        <x:v>Rev3M +20.5%; Accel3M +8.4ppt; Stock3M +0.1%; EV/EBITDA 4.7x (70th pct); PeakRatio36M 83%; Multiple3M -15.4%; Earnings-Price Gap +20.4%; CycleHeat 67%. EBITDA revision strength is in a high historical percentile and revision momentum is still accelerating.</x:v>
      </x:c>
    </x:row>
    <x:row r="82">
      <x:c r="A82" s="32" t="n">
        <x:v>45473</x:v>
      </x:c>
      <x:c r="B82" s="33" t="n">
        <x:v>0.5993</x:v>
      </x:c>
      <x:c r="C82" s="40" t="n">
        <x:f>IFERROR((1+B82)/(1+B81)-1,"")</x:f>
        <x:v>0.10885391388754084</x:v>
      </x:c>
      <x:c r="D82" s="40" t="n">
        <x:f>IFERROR((1+B82)/(1+B79)-1,"")</x:f>
        <x:v>-0.010946196660482355</x:v>
      </x:c>
      <x:c r="E82" s="40" t="n">
        <x:f>IFERROR((1+B82)/(1+B76)-1,"")</x:f>
        <x:v>0.038236821604777926</x:v>
      </x:c>
      <x:c r="F82" s="36" t="n">
        <x:v>4.7481204829858035</x:v>
      </x:c>
      <x:c r="G82" s="40" t="n">
        <x:f>IFERROR(F82/F79-1,"")</x:f>
        <x:v>-0.21992187053737244</x:v>
      </x:c>
      <x:c r="H82" s="38" t="n">
        <x:v>97364.22362812822</x:v>
      </x:c>
      <x:c r="I82" s="40" t="n">
        <x:f>IFERROR(H82/H81-1,"")</x:f>
        <x:v>0.05915609569273195</x:v>
      </x:c>
      <x:c r="J82" s="40" t="n">
        <x:f>IFERROR(H82/H79-1,"")</x:f>
        <x:v>0.2584613445180117</x:v>
      </x:c>
      <x:c r="K82" s="40" t="n">
        <x:f>IFERROR(H82/H76-1,"")</x:f>
        <x:v>0.3816556947506924</x:v>
      </x:c>
      <x:c r="L82" s="40" t="n">
        <x:f>IFERROR(J82-J81,"")</x:f>
        <x:v>0.05309266479151731</x:v>
      </x:c>
      <x:c r="M82" s="40" t="n">
        <x:f>IFERROR(J82-D82,"")</x:f>
        <x:v>0.2694075411784941</x:v>
      </x:c>
      <x:c r="N82" s="42" t="str">
        <x:f>IF(J82&lt;0,IF(D82&lt;0,"Down-cycle","Price up / earnings down"),IF(AND(J82&gt;0,L82&lt;0,M82&lt;-0.15),"Late-cycle warning",IF(AND(J82&gt;0,M82&gt;0),"Earnings-led expansion",IF(AND(J82&gt;0,D82&lt;0),"Potential dislocation",IF(AND(J82&gt;0,M82&lt;0),"Price ahead / rerating","Neutral")))))</x:f>
        <x:v>Earnings-led expansion</x:v>
      </x:c>
      <x:c r="O82" s="40" t="n">
        <x:v>0.16056850834205139</x:v>
      </x:c>
      <x:c r="P82" s="40" t="n">
        <x:v>1</x:v>
      </x:c>
      <x:c r="Q82" s="40" t="n">
        <x:v>0.9145234251449808</x:v>
      </x:c>
      <x:c r="R82" s="40" t="n">
        <x:v>0.7076678552532389</x:v>
      </x:c>
      <x:c r="S82" s="40" t="n">
        <x:v>0.29233214474676106</x:v>
      </x:c>
      <x:c r="T82" s="40" t="n">
        <x:v>0.4264022490163949</x:v>
      </x:c>
      <x:c r="U82" s="40" t="n">
        <x:v>0.8786988690738694</x:v>
      </x:c>
      <x:c r="V82" s="40" t="n">
        <x:v>0.7223777350388764</x:v>
      </x:c>
      <x:c r="W82" s="64" t="str">
        <x:v>Stage 7 – Earnings Acceleration</x:v>
      </x:c>
      <x:c r="X82" s="64" t="str">
        <x:v>Rev3M +25.8%; Accel3M +16.1ppt; Stock3M -1.1%; EV/EBITDA 4.7x (71th pct); PeakRatio36M 88%; Multiple3M -22.0%; Earnings-Price Gap +26.9%; CycleHeat 72%. EBITDA revision strength is in a high historical percentile and revision momentum is still accelerating.</x:v>
      </x:c>
    </x:row>
    <x:row r="83">
      <x:c r="A83" s="32" t="n">
        <x:v>45504</x:v>
      </x:c>
      <x:c r="B83" s="33" t="n">
        <x:v>0.6464</x:v>
      </x:c>
      <x:c r="C83" s="40" t="n">
        <x:f>IFERROR((1+B83)/(1+B82)-1,"")</x:f>
        <x:v>0.029450384543237673</x:v>
      </x:c>
      <x:c r="D83" s="40" t="n">
        <x:f>IFERROR((1+B83)/(1+B80)-1,"")</x:f>
        <x:v>0.08258811152025247</x:v>
      </x:c>
      <x:c r="E83" s="40" t="n">
        <x:f>IFERROR((1+B83)/(1+B77)-1,"")</x:f>
        <x:v>0.15407262021589774</x:v>
      </x:c>
      <x:c r="F83" s="36" t="n">
        <x:v>4.37959675420292</x:v>
      </x:c>
      <x:c r="G83" s="40" t="n">
        <x:f>IFERROR(F83/F80-1,"")</x:f>
        <x:v>-0.17921332366430853</x:v>
      </x:c>
      <x:c r="H83" s="38" t="n">
        <x:v>104616.30279197978</x:v>
      </x:c>
      <x:c r="I83" s="40" t="n">
        <x:f>IFERROR(H83/H82-1,"")</x:f>
        <x:v>0.07448402394240894</x:v>
      </x:c>
      <x:c r="J83" s="40" t="n">
        <x:f>IFERROR(H83/H80-1,"")</x:f>
        <x:v>0.17966831247188986</x:v>
      </x:c>
      <x:c r="K83" s="40" t="n">
        <x:f>IFERROR(H83/H77-1,"")</x:f>
        <x:v>0.35219660943368725</x:v>
      </x:c>
      <x:c r="L83" s="40" t="n">
        <x:f>IFERROR(J83-J82,"")</x:f>
        <x:v>-0.07879303204612187</x:v>
      </x:c>
      <x:c r="M83" s="40" t="n">
        <x:f>IFERROR(J83-D83,"")</x:f>
        <x:v>0.09708020095163739</x:v>
      </x:c>
      <x:c r="N83" s="42" t="str">
        <x:f>IF(J83&lt;0,IF(D83&lt;0,"Down-cycle","Price up / earnings down"),IF(AND(J83&gt;0,L83&lt;0,M83&lt;-0.15),"Late-cycle warning",IF(AND(J83&gt;0,M83&gt;0),"Earnings-led expansion",IF(AND(J83&gt;0,D83&lt;0),"Potential dislocation",IF(AND(J83&gt;0,M83&lt;0),"Price ahead / rerating","Neutral")))))</x:f>
        <x:v>Earnings-led expansion</x:v>
      </x:c>
      <x:c r="O83" s="40" t="n">
        <x:v>0.03341678131032144</x:v>
      </x:c>
      <x:c r="P83" s="40" t="n">
        <x:v>0.9734873051249442</x:v>
      </x:c>
      <x:c r="Q83" s="40" t="n">
        <x:v>0.5254515896258171</x:v>
      </x:c>
      <x:c r="R83" s="40" t="n">
        <x:v>0.5352112676056338</x:v>
      </x:c>
      <x:c r="S83" s="40" t="n">
        <x:v>0.46478873239436624</x:v>
      </x:c>
      <x:c r="T83" s="40" t="n">
        <x:v>0.7421413268124876</x:v>
      </x:c>
      <x:c r="U83" s="40" t="n">
        <x:v>0.9441478966761351</x:v>
      </x:c>
      <x:c r="V83" s="40" t="n">
        <x:v>0.7134694660415555</x:v>
      </x:c>
      <x:c r="W83" s="64" t="str">
        <x:v>Stage 7 – Earnings Acceleration</x:v>
      </x:c>
      <x:c r="X83" s="64" t="str">
        <x:v>Rev3M +18.0%; Accel3M +3.3ppt; Stock3M +8.3%; EV/EBITDA 4.4x (54th pct); PeakRatio36M 94%; Multiple3M -17.9%; Earnings-Price Gap +9.7%; CycleHeat 71%. EBITDA revision strength is in a high historical percentile and revision momentum is still accelerating.</x:v>
      </x:c>
    </x:row>
    <x:row r="84">
      <x:c r="A84" s="32" t="n">
        <x:v>45535</x:v>
      </x:c>
      <x:c r="B84" s="33" t="n">
        <x:v>0.458</x:v>
      </x:c>
      <x:c r="C84" s="40" t="n">
        <x:f>IFERROR((1+B84)/(1+B83)-1,"")</x:f>
        <x:v>-0.11443148688046645</x:v>
      </x:c>
      <x:c r="D84" s="40" t="n">
        <x:f>IFERROR((1+B84)/(1+B81)-1,"")</x:f>
        <x:v>0.010885391388754107</x:v>
      </x:c>
      <x:c r="E84" s="40" t="n">
        <x:f>IFERROR((1+B84)/(1+B78)-1,"")</x:f>
        <x:v>0.012289106436158992</x:v>
      </x:c>
      <x:c r="F84" s="36" t="n">
        <x:v>4.137546116428226</x:v>
      </x:c>
      <x:c r="G84" s="40" t="n">
        <x:f>IFERROR(F84/F81-1,"")</x:f>
        <x:v>-0.11545726168677783</x:v>
      </x:c>
      <x:c r="H84" s="38" t="n">
        <x:v>103123.91095812233</x:v>
      </x:c>
      <x:c r="I84" s="40" t="n">
        <x:f>IFERROR(H84/H83-1,"")</x:f>
        <x:v>-0.014265384973744744</x:v>
      </x:c>
      <x:c r="J84" s="40" t="n">
        <x:f>IFERROR(H84/H81-1,"")</x:f>
        <x:v>0.12181163504307158</x:v>
      </x:c>
      <x:c r="K84" s="40" t="n">
        <x:f>IFERROR(H84/H78-1,"")</x:f>
        <x:v>0.35219660943368725</x:v>
      </x:c>
      <x:c r="L84" s="40" t="n">
        <x:f>IFERROR(J84-J83,"")</x:f>
        <x:v>-0.05785667742881828</x:v>
      </x:c>
      <x:c r="M84" s="40" t="n">
        <x:f>IFERROR(J84-D84,"")</x:f>
        <x:v>0.11092624365431747</x:v>
      </x:c>
      <x:c r="N84" s="42" t="str">
        <x:f>IF(J84&lt;0,IF(D84&lt;0,"Down-cycle","Price up / earnings down"),IF(AND(J84&gt;0,L84&lt;0,M84&lt;-0.15),"Late-cycle warning",IF(AND(J84&gt;0,M84&gt;0),"Earnings-led expansion",IF(AND(J84&gt;0,D84&lt;0),"Potential dislocation",IF(AND(J84&gt;0,M84&lt;0),"Price ahead / rerating","Neutral")))))</x:f>
        <x:v>Earnings-led expansion</x:v>
      </x:c>
      <x:c r="O84" s="40" t="n">
        <x:v>-0.08355704468342284</x:v>
      </x:c>
      <x:c r="P84" s="40" t="n">
        <x:v>0.8823529411764706</x:v>
      </x:c>
      <x:c r="Q84" s="40" t="n">
        <x:v>0.25747926903861784</x:v>
      </x:c>
      <x:c r="R84" s="40" t="n">
        <x:v>0.4474051568406487</x:v>
      </x:c>
      <x:c r="S84" s="40" t="n">
        <x:v>0.5525948431593513</x:v>
      </x:c>
      <x:c r="T84" s="40" t="n">
        <x:v>0.5139230924975012</x:v>
      </x:c>
      <x:c r="U84" s="40" t="n">
        <x:v>0.9306792634578985</x:v>
      </x:c>
      <x:c r="V84" s="40" t="n">
        <x:v>0.5864969338027897</x:v>
      </x:c>
      <x:c r="W84" s="64" t="str">
        <x:v>Stage 13 – Mixed / Transition</x:v>
      </x:c>
      <x:c r="X84" s="64" t="str">
        <x:v>Rev3M +12.2%; Accel3M -8.4ppt; Stock3M +1.1%; EV/EBITDA 4.1x (45th pct); PeakRatio36M 93%; Multiple3M -11.5%; Earnings-Price Gap +11.1%; CycleHeat 59%. Signals do not fit one dominant state; treat as a transition and require confirmation from the next 1–3 monthly observations.</x:v>
      </x:c>
    </x:row>
    <x:row r="85">
      <x:c r="A85" s="32" t="n">
        <x:v>45565</x:v>
      </x:c>
      <x:c r="B85" s="33" t="n">
        <x:v>0.2068</x:v>
      </x:c>
      <x:c r="C85" s="40" t="n">
        <x:f>IFERROR((1+B85)/(1+B84)-1,"")</x:f>
        <x:v>-0.17229080932784624</x:v>
      </x:c>
      <x:c r="D85" s="40" t="n">
        <x:f>IFERROR((1+B85)/(1+B82)-1,"")</x:f>
        <x:v>-0.24541987119364717</x:v>
      </x:c>
      <x:c r="E85" s="40" t="n">
        <x:f>IFERROR((1+B85)/(1+B79)-1,"")</x:f>
        <x:v>-0.2536796536796536</x:v>
      </x:c>
      <x:c r="F85" s="36" t="n">
        <x:v>3.6379990975924037</x:v>
      </x:c>
      <x:c r="G85" s="40" t="n">
        <x:f>IFERROR(F85/F82-1,"")</x:f>
        <x:v>-0.2338022780532545</x:v>
      </x:c>
      <x:c r="H85" s="38" t="n">
        <x:v>95975.28549540321</x:v>
      </x:c>
      <x:c r="I85" s="40" t="n">
        <x:f>IFERROR(H85/H84-1,"")</x:f>
        <x:v>-0.06932073654210136</x:v>
      </x:c>
      <x:c r="J85" s="40" t="n">
        <x:f>IFERROR(H85/H82-1,"")</x:f>
        <x:v>-0.014265384973744633</x:v>
      </x:c>
      <x:c r="K85" s="40" t="n">
        <x:f>IFERROR(H85/H79-1,"")</x:f>
        <x:v>0.24050890896388588</x:v>
      </x:c>
      <x:c r="L85" s="40" t="n">
        <x:f>IFERROR(J85-J84,"")</x:f>
        <x:v>-0.1360770200168162</x:v>
      </x:c>
      <x:c r="M85" s="40" t="n">
        <x:f>IFERROR(J85-D85,"")</x:f>
        <x:v>0.23115448621990253</x:v>
      </x:c>
      <x:c r="N85" s="42" t="str">
        <x:f>IF(J85&lt;0,IF(D85&lt;0,"Down-cycle","Price up / earnings down"),IF(AND(J85&gt;0,L85&lt;0,M85&lt;-0.15),"Late-cycle warning",IF(AND(J85&gt;0,M85&gt;0),"Earnings-led expansion",IF(AND(J85&gt;0,D85&lt;0),"Potential dislocation",IF(AND(J85&gt;0,M85&lt;0),"Price ahead / rerating","Neutral")))))</x:f>
        <x:v>Down-cycle</x:v>
      </x:c>
      <x:c r="O85" s="40" t="n">
        <x:v>-0.27272672949175636</x:v>
      </x:c>
      <x:c r="P85" s="40" t="n">
        <x:v>0.41176470588235303</x:v>
      </x:c>
      <x:c r="Q85" s="40" t="n">
        <x:v>0.029710770607855142</x:v>
      </x:c>
      <x:c r="R85" s="40" t="n">
        <x:v>0.3188456148169895</x:v>
      </x:c>
      <x:c r="S85" s="40" t="n">
        <x:v>0.6811543851830105</x:v>
      </x:c>
      <x:c r="T85" s="40" t="n">
        <x:v>0</x:v>
      </x:c>
      <x:c r="U85" s="40" t="n">
        <x:v>0.8661638914305365</x:v>
      </x:c>
      <x:c r="V85" s="40" t="n">
        <x:v>0.2877762167473894</x:v>
      </x:c>
      <x:c r="W85" s="64" t="str">
        <x:v>Stage 12 – Downturn Confirmation</x:v>
      </x:c>
      <x:c r="X85" s="64" t="str">
        <x:v>Rev3M -1.4%; Accel3M -27.3ppt; Stock3M -24.5%; EV/EBITDA 3.6x (32th pct); PeakRatio36M 87%; Multiple3M -23.4%; Earnings-Price Gap +23.1%; CycleHeat 29%. Forward EBITDA, revision momentum, and stock performance are all negative while earnings are still relatively elevated—downcycle is being confirmed.</x:v>
      </x:c>
    </x:row>
    <x:row r="86">
      <x:c r="A86" s="32" t="n">
        <x:v>45596</x:v>
      </x:c>
      <x:c r="B86" s="33" t="n">
        <x:v>0.1617</x:v>
      </x:c>
      <x:c r="C86" s="40" t="n">
        <x:f>IFERROR((1+B86)/(1+B85)-1,"")</x:f>
        <x:v>-0.03737156115346385</x:v>
      </x:c>
      <x:c r="D86" s="40" t="n">
        <x:f>IFERROR((1+B86)/(1+B83)-1,"")</x:f>
        <x:v>-0.2943999028182701</x:v>
      </x:c>
      <x:c r="E86" s="40" t="n">
        <x:f>IFERROR((1+B86)/(1+B80)-1,"")</x:f>
        <x:v>-0.23612572330352444</x:v>
      </x:c>
      <x:c r="F86" s="36" t="n">
        <x:v>3.2860804758483515</x:v>
      </x:c>
      <x:c r="G86" s="40" t="n">
        <x:f>IFERROR(F86/F83-1,"")</x:f>
        <x:v>-0.24968423800779505</x:v>
      </x:c>
      <x:c r="H86" s="38" t="n">
        <x:v>95975.28549540321</x:v>
      </x:c>
      <x:c r="I86" s="40" t="n">
        <x:f>IFERROR(H86/H85-1,"")</x:f>
        <x:v>0</x:v>
      </x:c>
      <x:c r="J86" s="40" t="n">
        <x:f>IFERROR(H86/H83-1,"")</x:f>
        <x:v>-0.08259723452240963</x:v>
      </x:c>
      <x:c r="K86" s="40" t="n">
        <x:f>IFERROR(H86/H80-1,"")</x:f>
        <x:v>0.08223097220799391</x:v>
      </x:c>
      <x:c r="L86" s="40" t="n">
        <x:f>IFERROR(J86-J85,"")</x:f>
        <x:v>-0.068331849548665</x:v>
      </x:c>
      <x:c r="M86" s="40" t="n">
        <x:f>IFERROR(J86-D86,"")</x:f>
        <x:v>0.21180266829586047</x:v>
      </x:c>
      <x:c r="N86" s="42" t="str">
        <x:f>IF(J86&lt;0,IF(D86&lt;0,"Down-cycle","Price up / earnings down"),IF(AND(J86&gt;0,L86&lt;0,M86&lt;-0.15),"Late-cycle warning",IF(AND(J86&gt;0,M86&gt;0),"Earnings-led expansion",IF(AND(J86&gt;0,D86&lt;0),"Potential dislocation",IF(AND(J86&gt;0,M86&lt;0),"Price ahead / rerating","Neutral")))))</x:f>
        <x:v>Down-cycle</x:v>
      </x:c>
      <x:c r="O86" s="40" t="n">
        <x:v>-0.2622655469942995</x:v>
      </x:c>
      <x:c r="P86" s="40" t="n">
        <x:v>0.24999999999999975</x:v>
      </x:c>
      <x:c r="Q86" s="40" t="n">
        <x:v>0.048704266670208524</x:v>
      </x:c>
      <x:c r="R86" s="40" t="n">
        <x:v>0.2196930102887153</x:v>
      </x:c>
      <x:c r="S86" s="40" t="n">
        <x:v>0.7803069897112846</x:v>
      </x:c>
      <x:c r="T86" s="40" t="n">
        <x:v>0</x:v>
      </x:c>
      <x:c r="U86" s="40" t="n">
        <x:v>0.8661638914305365</x:v>
      </x:c>
      <x:c r="V86" s="40" t="n">
        <x:v>0.25573746460980895</x:v>
      </x:c>
      <x:c r="W86" s="64" t="str">
        <x:v>Stage 12 – Downturn Confirmation</x:v>
      </x:c>
      <x:c r="X86" s="64" t="str">
        <x:v>Rev3M -8.3%; Accel3M -26.2ppt; Stock3M -29.4%; EV/EBITDA 3.3x (22th pct); PeakRatio36M 87%; Multiple3M -25.0%; Earnings-Price Gap +21.2%; CycleHeat 26%. Forward EBITDA, revision momentum, and stock performance are all negative while earnings are still relatively elevated—downcycle is being confirmed.</x:v>
      </x:c>
    </x:row>
    <x:row r="87">
      <x:c r="A87" s="32" t="n">
        <x:v>45626</x:v>
      </x:c>
      <x:c r="B87" s="33" t="n">
        <x:v>0.0636</x:v>
      </x:c>
      <x:c r="C87" s="40" t="n">
        <x:f>IFERROR((1+B87)/(1+B86)-1,"")</x:f>
        <x:v>-0.08444520960661084</x:v>
      </x:c>
      <x:c r="D87" s="40" t="n">
        <x:f>IFERROR((1+B87)/(1+B84)-1,"")</x:f>
        <x:v>-0.2705075445816185</x:v>
      </x:c>
      <x:c r="E87" s="40" t="n">
        <x:f>IFERROR((1+B87)/(1+B81)-1,"")</x:f>
        <x:v>-0.2625667336892462</x:v>
      </x:c>
      <x:c r="F87" s="36" t="n">
        <x:v>3.4472346790972397</x:v>
      </x:c>
      <x:c r="G87" s="40" t="n">
        <x:f>IFERROR(F87/F84-1,"")</x:f>
        <x:v>-0.166840783862224</x:v>
      </x:c>
      <x:c r="H87" s="38" t="n">
        <x:v>83130.32676585518</x:v>
      </x:c>
      <x:c r="I87" s="40" t="n">
        <x:f>IFERROR(H87/H86-1,"")</x:f>
        <x:v>-0.13383610856946337</x:v>
      </x:c>
      <x:c r="J87" s="40" t="n">
        <x:f>IFERROR(H87/H84-1,"")</x:f>
        <x:v>-0.19387922748960096</x:v>
      </x:c>
      <x:c r="K87" s="40" t="n">
        <x:f>IFERROR(H87/H81-1,"")</x:f>
        <x:v>-0.09568433814792532</x:v>
      </x:c>
      <x:c r="L87" s="40" t="n">
        <x:f>IFERROR(J87-J86,"")</x:f>
        <x:v>-0.11128199296719132</x:v>
      </x:c>
      <x:c r="M87" s="40" t="n">
        <x:f>IFERROR(J87-D87,"")</x:f>
        <x:v>0.07662831709201756</x:v>
      </x:c>
      <x:c r="N87" s="42" t="str">
        <x:f>IF(J87&lt;0,IF(D87&lt;0,"Down-cycle","Price up / earnings down"),IF(AND(J87&gt;0,L87&lt;0,M87&lt;-0.15),"Late-cycle warning",IF(AND(J87&gt;0,M87&gt;0),"Earnings-led expansion",IF(AND(J87&gt;0,D87&lt;0),"Potential dislocation",IF(AND(J87&gt;0,M87&lt;0),"Price ahead / rerating","Neutral")))))</x:f>
        <x:v>Down-cycle</x:v>
      </x:c>
      <x:c r="O87" s="40" t="n">
        <x:v>-0.31569086253267253</x:v>
      </x:c>
      <x:c r="P87" s="40" t="n">
        <x:v>0.08823529411764734</x:v>
      </x:c>
      <x:c r="Q87" s="40" t="n">
        <x:v>0.00729228671162785</x:v>
      </x:c>
      <x:c r="R87" s="40" t="n">
        <x:v>0.26192120730320323</x:v>
      </x:c>
      <x:c r="S87" s="40" t="n">
        <x:v>0.7380787926967968</x:v>
      </x:c>
      <x:c r="T87" s="40" t="n">
        <x:v>0</x:v>
      </x:c>
      <x:c r="U87" s="40" t="n">
        <x:v>0.7502398868180904</x:v>
      </x:c>
      <x:c r="V87" s="40" t="n">
        <x:v>0.18032118315844287</x:v>
      </x:c>
      <x:c r="W87" s="64" t="str">
        <x:v>Stage 12 – Downturn Confirmation</x:v>
      </x:c>
      <x:c r="X87" s="64" t="str">
        <x:v>Rev3M -19.4%; Accel3M -31.6ppt; Stock3M -27.1%; EV/EBITDA 3.4x (26th pct); PeakRatio36M 75%; Multiple3M -16.7%; Earnings-Price Gap +7.7%; CycleHeat 18%. Forward EBITDA, revision momentum, and stock performance are all negative while earnings are still relatively elevated—downcycle is being confirmed.</x:v>
      </x:c>
    </x:row>
    <x:row r="88">
      <x:c r="A88" s="32" t="n">
        <x:v>45657</x:v>
      </x:c>
      <x:c r="B88" s="33" t="n">
        <x:v>0.044</x:v>
      </x:c>
      <x:c r="C88" s="40" t="n">
        <x:f>IFERROR((1+B88)/(1+B87)-1,"")</x:f>
        <x:v>-0.018427980443775915</x:v>
      </x:c>
      <x:c r="D88" s="40" t="n">
        <x:f>IFERROR((1+B88)/(1+B85)-1,"")</x:f>
        <x:v>-0.13490222074908853</x:v>
      </x:c>
      <x:c r="E88" s="40" t="n">
        <x:f>IFERROR((1+B88)/(1+B82)-1,"")</x:f>
        <x:v>-0.34721440630275746</x:v>
      </x:c>
      <x:c r="F88" s="36" t="n">
        <x:v>3.703904944830753</x:v>
      </x:c>
      <x:c r="G88" s="40" t="n">
        <x:f>IFERROR(F88/F85-1,"")</x:f>
        <x:v>0.018115960304103673</x:v>
      </x:c>
      <x:c r="H88" s="38" t="n">
        <x:v>82535.25384954197</x:v>
      </x:c>
      <x:c r="I88" s="40" t="n">
        <x:f>IFERROR(H88/H87-1,"")</x:f>
        <x:v>-0.007158313210885003</x:v>
      </x:c>
      <x:c r="J88" s="40" t="n">
        <x:f>IFERROR(H88/H85-1,"")</x:f>
        <x:v>-0.14003638099628213</x:v>
      </x:c>
      <x:c r="K88" s="40" t="n">
        <x:f>IFERROR(H88/H82-1,"")</x:f>
        <x:v>-0.15230409308478488</x:v>
      </x:c>
      <x:c r="L88" s="40" t="n">
        <x:f>IFERROR(J88-J87,"")</x:f>
        <x:v>0.05384284649331883</x:v>
      </x:c>
      <x:c r="M88" s="40" t="n">
        <x:f>IFERROR(J88-D88,"")</x:f>
        <x:v>-0.005134160247193598</x:v>
      </x:c>
      <x:c r="N88" s="42" t="str">
        <x:f>IF(J88&lt;0,IF(D88&lt;0,"Down-cycle","Price up / earnings down"),IF(AND(J88&gt;0,L88&lt;0,M88&lt;-0.15),"Late-cycle warning",IF(AND(J88&gt;0,M88&gt;0),"Earnings-led expansion",IF(AND(J88&gt;0,D88&lt;0),"Potential dislocation",IF(AND(J88&gt;0,M88&lt;0),"Price ahead / rerating","Neutral")))))</x:f>
        <x:v>Down-cycle</x:v>
      </x:c>
      <x:c r="O88" s="40" t="n">
        <x:v>-0.1257709960225375</x:v>
      </x:c>
      <x:c r="P88" s="40" t="n">
        <x:v>0.1646637757131795</x:v>
      </x:c>
      <x:c r="Q88" s="40" t="n">
        <x:v>0.15044756829820838</x:v>
      </x:c>
      <x:c r="R88" s="40" t="n">
        <x:v>0.3274490001111949</x:v>
      </x:c>
      <x:c r="S88" s="40" t="n">
        <x:v>0.6725509998888051</x:v>
      </x:c>
      <x:c r="T88" s="40" t="n">
        <x:v>0.046285624917340125</x:v>
      </x:c>
      <x:c r="U88" s="40" t="n">
        <x:v>0.7448694347249476</x:v>
      </x:c>
      <x:c r="V88" s="40" t="n">
        <x:v>0.23901153853539397</x:v>
      </x:c>
      <x:c r="W88" s="64" t="str">
        <x:v>Stage 12 – Downturn Confirmation</x:v>
      </x:c>
      <x:c r="X88" s="64" t="str">
        <x:v>Rev3M -14.0%; Accel3M -12.6ppt; Stock3M -13.5%; EV/EBITDA 3.7x (33th pct); PeakRatio36M 74%; Multiple3M +1.8%; Earnings-Price Gap -0.5%; CycleHeat 24%. Forward EBITDA, revision momentum, and stock performance are all negative while earnings are still relatively elevated—downcycle is being confirmed.</x:v>
      </x:c>
    </x:row>
    <x:row r="89">
      <x:c r="A89" s="32" t="n">
        <x:v>45688</x:v>
      </x:c>
      <x:c r="B89" s="33" t="n">
        <x:v>0.0283</x:v>
      </x:c>
      <x:c r="C89" s="40" t="n">
        <x:f>IFERROR((1+B89)/(1+B88)-1,"")</x:f>
        <x:v>-0.015038314176245238</x:v>
      </x:c>
      <x:c r="D89" s="40" t="n">
        <x:f>IFERROR((1+B89)/(1+B86)-1,"")</x:f>
        <x:v>-0.11483171214599286</x:v>
      </x:c>
      <x:c r="E89" s="40" t="n">
        <x:f>IFERROR((1+B89)/(1+B83)-1,"")</x:f>
        <x:v>-0.3754251700680271</x:v>
      </x:c>
      <x:c r="F89" s="36" t="n">
        <x:v>3.4164276438192083</x:v>
      </x:c>
      <x:c r="G89" s="40" t="n">
        <x:f>IFERROR(F89/F86-1,"")</x:f>
        <x:v>0.039666456414828355</x:v>
      </x:c>
      <x:c r="H89" s="38" t="n">
        <x:v>78487.32316598197</x:v>
      </x:c>
      <x:c r="I89" s="40" t="n">
        <x:f>IFERROR(H89/H88-1,"")</x:f>
        <x:v>-0.04904486864412139</x:v>
      </x:c>
      <x:c r="J89" s="40" t="n">
        <x:f>IFERROR(H89/H86-1,"")</x:f>
        <x:v>-0.18221318372904272</x:v>
      </x:c>
      <x:c r="K89" s="40" t="n">
        <x:f>IFERROR(H89/H83-1,"")</x:f>
        <x:v>-0.24976011318190972</x:v>
      </x:c>
      <x:c r="L89" s="40" t="n">
        <x:f>IFERROR(J89-J88,"")</x:f>
        <x:v>-0.04217680273276059</x:v>
      </x:c>
      <x:c r="M89" s="40" t="n">
        <x:f>IFERROR(J89-D89,"")</x:f>
        <x:v>-0.06738147158304986</x:v>
      </x:c>
      <x:c r="N89" s="42" t="str">
        <x:f>IF(J89&lt;0,IF(D89&lt;0,"Down-cycle","Price up / earnings down"),IF(AND(J89&gt;0,L89&lt;0,M89&lt;-0.15),"Late-cycle warning",IF(AND(J89&gt;0,M89&gt;0),"Earnings-led expansion",IF(AND(J89&gt;0,D89&lt;0),"Potential dislocation",IF(AND(J89&gt;0,M89&lt;0),"Price ahead / rerating","Neutral")))))</x:f>
        <x:v>Down-cycle</x:v>
      </x:c>
      <x:c r="O89" s="40" t="n">
        <x:v>-0.09961594920663308</x:v>
      </x:c>
      <x:c r="P89" s="40" t="n">
        <x:v>0.11764705882353017</x:v>
      </x:c>
      <x:c r="Q89" s="40" t="n">
        <x:v>0.21247985494037863</x:v>
      </x:c>
      <x:c r="R89" s="40" t="n">
        <x:v>0.2577023154650783</x:v>
      </x:c>
      <x:c r="S89" s="40" t="n">
        <x:v>0.7422976845349216</x:v>
      </x:c>
      <x:c r="T89" s="40" t="n">
        <x:v>0.07286854031493918</x:v>
      </x:c>
      <x:c r="U89" s="40" t="n">
        <x:v>0.7083374111418416</x:v>
      </x:c>
      <x:c r="V89" s="40" t="n">
        <x:v>0.25732967929330236</x:v>
      </x:c>
      <x:c r="W89" s="64" t="str">
        <x:v>Stage 12 – Downturn Confirmation</x:v>
      </x:c>
      <x:c r="X89" s="64" t="str">
        <x:v>Rev3M -18.2%; Accel3M -10.0ppt; Stock3M -11.5%; EV/EBITDA 3.4x (26th pct); PeakRatio36M 71%; Multiple3M +4.0%; Earnings-Price Gap -6.7%; CycleHeat 26%. Forward EBITDA, revision momentum, and stock performance are all negative while earnings are still relatively elevated—downcycle is being confirmed.</x:v>
      </x:c>
    </x:row>
    <x:row r="90">
      <x:c r="A90" s="32" t="n">
        <x:v>45716</x:v>
      </x:c>
      <x:c r="B90" s="33" t="n">
        <x:v>0.0695</x:v>
      </x:c>
      <x:c r="C90" s="40" t="n">
        <x:f>IFERROR((1+B90)/(1+B89)-1,"")</x:f>
        <x:v>0.040066128561703884</x:v>
      </x:c>
      <x:c r="D90" s="40" t="n">
        <x:f>IFERROR((1+B90)/(1+B87)-1,"")</x:f>
        <x:v>0.005547198194810088</x:v>
      </x:c>
      <x:c r="E90" s="40" t="n">
        <x:f>IFERROR((1+B90)/(1+B84)-1,"")</x:f>
        <x:v>-0.26646090534979416</x:v>
      </x:c>
      <x:c r="F90" s="36" t="n">
        <x:v>3.573265953424167</x:v>
      </x:c>
      <x:c r="G90" s="40" t="n">
        <x:f>IFERROR(F90/F87-1,"")</x:f>
        <x:v>0.03656010862594705</x:v>
      </x:c>
      <x:c r="H90" s="38" t="n">
        <x:v>78487.32316598197</x:v>
      </x:c>
      <x:c r="I90" s="40" t="n">
        <x:f>IFERROR(H90/H89-1,"")</x:f>
        <x:v>0</x:v>
      </x:c>
      <x:c r="J90" s="40" t="n">
        <x:f>IFERROR(H90/H87-1,"")</x:f>
        <x:v>-0.05585210332386503</x:v>
      </x:c>
      <x:c r="K90" s="40" t="n">
        <x:f>IFERROR(H90/H84-1,"")</x:f>
        <x:v>-0.23890276816736566</x:v>
      </x:c>
      <x:c r="L90" s="40" t="n">
        <x:f>IFERROR(J90-J89,"")</x:f>
        <x:v>0.12636108040517768</x:v>
      </x:c>
      <x:c r="M90" s="40" t="n">
        <x:f>IFERROR(J90-D90,"")</x:f>
        <x:v>-0.06139930151867512</x:v>
      </x:c>
      <x:c r="N90" s="42" t="str">
        <x:f>IF(J90&lt;0,IF(D90&lt;0,"Down-cycle","Price up / earnings down"),IF(AND(J90&gt;0,L90&lt;0,M90&lt;-0.15),"Late-cycle warning",IF(AND(J90&gt;0,M90&gt;0),"Earnings-led expansion",IF(AND(J90&gt;0,D90&lt;0),"Potential dislocation",IF(AND(J90&gt;0,M90&lt;0),"Price ahead / rerating","Neutral")))))</x:f>
        <x:v>Price up / earnings down</x:v>
      </x:c>
      <x:c r="O90" s="40" t="n">
        <x:v>0.13802712416573593</x:v>
      </x:c>
      <x:c r="P90" s="40" t="n">
        <x:v>0.2989844343460803</x:v>
      </x:c>
      <x:c r="Q90" s="40" t="n">
        <x:v>0.8598894610113541</x:v>
      </x:c>
      <x:c r="R90" s="40" t="n">
        <x:v>0.31282779193467875</x:v>
      </x:c>
      <x:c r="S90" s="40" t="n">
        <x:v>0.6871722080653213</x:v>
      </x:c>
      <x:c r="T90" s="40" t="n">
        <x:v>0.5014905361310349</x:v>
      </x:c>
      <x:c r="U90" s="40" t="n">
        <x:v>0.7083374111418416</x:v>
      </x:c>
      <x:c r="V90" s="40" t="n">
        <x:v>0.5573494661132379</x:v>
      </x:c>
      <x:c r="W90" s="64" t="str">
        <x:v>Stage 4 – Price-Led Bottom</x:v>
      </x:c>
      <x:c r="X90" s="64" t="str">
        <x:v>Rev3M -5.6%; Accel3M +13.8ppt; Stock3M +0.6%; EV/EBITDA 3.6x (31th pct); PeakRatio36M 71%; Multiple3M +3.7%; Earnings-Price Gap -6.1%; CycleHeat 56%. EBITDA is still being revised down but improving, while the stock has already turned up—typical price leadership near a bottom.</x:v>
      </x:c>
    </x:row>
    <x:row r="91">
      <x:c r="A91" s="32" t="n">
        <x:v>45747</x:v>
      </x:c>
      <x:c r="B91" s="33" t="n">
        <x:v>0.1342</x:v>
      </x:c>
      <x:c r="C91" s="40" t="n">
        <x:f>IFERROR((1+B91)/(1+B90)-1,"")</x:f>
        <x:v>0.06049555867227685</x:v>
      </x:c>
      <x:c r="D91" s="40" t="n">
        <x:f>IFERROR((1+B91)/(1+B88)-1,"")</x:f>
        <x:v>0.08639846743295032</x:v>
      </x:c>
      <x:c r="E91" s="40" t="n">
        <x:f>IFERROR((1+B91)/(1+B85)-1,"")</x:f>
        <x:v>-0.06015909844216105</x:v>
      </x:c>
      <x:c r="F91" s="36" t="n">
        <x:v>3.2083509457647965</x:v>
      </x:c>
      <x:c r="G91" s="40" t="n">
        <x:f>IFERROR(F91/F88-1,"")</x:f>
        <x:v>-0.13379231012868242</x:v>
      </x:c>
      <x:c r="H91" s="38" t="n">
        <x:v>86170.66983455911</x:v>
      </x:c>
      <x:c r="I91" s="40" t="n">
        <x:f>IFERROR(H91/H90-1,"")</x:f>
        <x:v>0.09789283617596056</x:v>
      </x:c>
      <x:c r="J91" s="40" t="n">
        <x:f>IFERROR(H91/H88-1,"")</x:f>
        <x:v>0.04404682624038858</x:v>
      </x:c>
      <x:c r="K91" s="40" t="n">
        <x:f>IFERROR(H91/H85-1,"")</x:f>
        <x:v>-0.10215771289696962</x:v>
      </x:c>
      <x:c r="L91" s="40" t="n">
        <x:f>IFERROR(J91-J90,"")</x:f>
        <x:v>0.09989892956425361</x:v>
      </x:c>
      <x:c r="M91" s="40" t="n">
        <x:f>IFERROR(J91-D91,"")</x:f>
        <x:v>-0.04235164119256174</x:v>
      </x:c>
      <x:c r="N91" s="42" t="str">
        <x:f>IF(J91&lt;0,IF(D91&lt;0,"Down-cycle","Price up / earnings down"),IF(AND(J91&gt;0,L91&lt;0,M91&lt;-0.15),"Late-cycle warning",IF(AND(J91&gt;0,M91&gt;0),"Earnings-led expansion",IF(AND(J91&gt;0,D91&lt;0),"Potential dislocation",IF(AND(J91&gt;0,M91&lt;0),"Price ahead / rerating","Neutral")))))</x:f>
        <x:v>Price ahead / rerating</x:v>
      </x:c>
      <x:c r="O91" s="40" t="n">
        <x:v>0.1840832072366707</x:v>
      </x:c>
      <x:c r="P91" s="40" t="n">
        <x:v>0.6323529411764706</x:v>
      </x:c>
      <x:c r="Q91" s="40" t="n">
        <x:v>0.9547495480122793</x:v>
      </x:c>
      <x:c r="R91" s="40" t="n">
        <x:v>0.20578555382370597</x:v>
      </x:c>
      <x:c r="S91" s="40" t="n">
        <x:v>0.794214446176294</x:v>
      </x:c>
      <x:c r="T91" s="40" t="n">
        <x:v>0.7474692190203048</x:v>
      </x:c>
      <x:c r="U91" s="40" t="n">
        <x:v>0.7776785692880538</x:v>
      </x:c>
      <x:c r="V91" s="40" t="n">
        <x:v>0.7683476494541542</x:v>
      </x:c>
      <x:c r="W91" s="64" t="str">
        <x:v>Stage 6 – Broad Recovery</x:v>
      </x:c>
      <x:c r="X91" s="64" t="str">
        <x:v>Rev3M +4.4%; Accel3M +18.4ppt; Stock3M +8.6%; EV/EBITDA 3.2x (21th pct); PeakRatio36M 78%; Multiple3M -13.4%; Earnings-Price Gap -4.2%; CycleHeat 77%. Forward EBITDA revisions are positive and non-decelerating, with earnings recovering toward normal cycle levels.</x:v>
      </x:c>
    </x:row>
    <x:row r="92">
      <x:c r="A92" s="32" t="n">
        <x:v>45777</x:v>
      </x:c>
      <x:c r="B92" s="33" t="n">
        <x:v>0.0891</x:v>
      </x:c>
      <x:c r="C92" s="40" t="n">
        <x:f>IFERROR((1+B92)/(1+B91)-1,"")</x:f>
        <x:v>-0.03976371010403823</x:v>
      </x:c>
      <x:c r="D92" s="40" t="n">
        <x:f>IFERROR((1+B92)/(1+B89)-1,"")</x:f>
        <x:v>0.059126713993970625</x:v>
      </x:c>
      <x:c r="E92" s="40" t="n">
        <x:f>IFERROR((1+B92)/(1+B86)-1,"")</x:f>
        <x:v>-0.06249461995351635</x:v>
      </x:c>
      <x:c r="F92" s="36" t="n">
        <x:v>3.488743287146032</x:v>
      </x:c>
      <x:c r="G92" s="40" t="n">
        <x:f>IFERROR(F92/F89-1,"")</x:f>
        <x:v>0.02116703494588945</x:v>
      </x:c>
      <x:c r="H92" s="38" t="n">
        <x:v>79623.17845954049</x:v>
      </x:c>
      <x:c r="I92" s="40" t="n">
        <x:f>IFERROR(H92/H91-1,"")</x:f>
        <x:v>-0.0759828302088088</x:v>
      </x:c>
      <x:c r="J92" s="40" t="n">
        <x:f>IFERROR(H92/H89-1,"")</x:f>
        <x:v>0.014471831217335085</x:v>
      </x:c>
      <x:c r="K92" s="40" t="n">
        <x:f>IFERROR(H92/H86-1,"")</x:f>
        <x:v>-0.17037831095220768</x:v>
      </x:c>
      <x:c r="L92" s="40" t="n">
        <x:f>IFERROR(J92-J91,"")</x:f>
        <x:v>-0.029574995023053496</x:v>
      </x:c>
      <x:c r="M92" s="40" t="n">
        <x:f>IFERROR(J92-D92,"")</x:f>
        <x:v>-0.04465488277663554</x:v>
      </x:c>
      <x:c r="N92" s="42" t="str">
        <x:f>IF(J92&lt;0,IF(D92&lt;0,"Down-cycle","Price up / earnings down"),IF(AND(J92&gt;0,L92&lt;0,M92&lt;-0.15),"Late-cycle warning",IF(AND(J92&gt;0,M92&gt;0),"Earnings-led expansion",IF(AND(J92&gt;0,D92&lt;0),"Potential dislocation",IF(AND(J92&gt;0,M92&lt;0),"Price ahead / rerating","Neutral")))))</x:f>
        <x:v>Price ahead / rerating</x:v>
      </x:c>
      <x:c r="O92" s="40" t="n">
        <x:v>0.1966850149463778</x:v>
      </x:c>
      <x:c r="P92" s="40" t="n">
        <x:v>0.5</x:v>
      </x:c>
      <x:c r="Q92" s="40" t="n">
        <x:v>0.9608373856898037</x:v>
      </x:c>
      <x:c r="R92" s="40" t="n">
        <x:v>0.2676056338028169</x:v>
      </x:c>
      <x:c r="S92" s="40" t="n">
        <x:v>0.7323943661971831</x:v>
      </x:c>
      <x:c r="T92" s="40" t="n">
        <x:v>0.6390207251764073</x:v>
      </x:c>
      <x:c r="U92" s="40" t="n">
        <x:v>0.7185883506008103</x:v>
      </x:c>
      <x:c r="V92" s="40" t="n">
        <x:v>0.689492364697169</x:v>
      </x:c>
      <x:c r="W92" s="64" t="str">
        <x:v>Stage 6 – Broad Recovery</x:v>
      </x:c>
      <x:c r="X92" s="64" t="str">
        <x:v>Rev3M +1.4%; Accel3M +19.7ppt; Stock3M +5.9%; EV/EBITDA 3.5x (27th pct); PeakRatio36M 72%; Multiple3M +2.1%; Earnings-Price Gap -4.5%; CycleHeat 69%. Forward EBITDA revisions are positive and non-decelerating, with earnings recovering toward normal cycle levels.</x:v>
      </x:c>
    </x:row>
    <x:row r="93">
      <x:c r="A93" s="32" t="n">
        <x:v>45808</x:v>
      </x:c>
      <x:c r="B93" s="33" t="n">
        <x:v>0.1028</x:v>
      </x:c>
      <x:c r="C93" s="40" t="n">
        <x:f>IFERROR((1+B93)/(1+B92)-1,"")</x:f>
        <x:v>0.012579193829767688</x:v>
      </x:c>
      <x:c r="D93" s="40" t="n">
        <x:f>IFERROR((1+B93)/(1+B90)-1,"")</x:f>
        <x:v>0.031136044880785363</x:v>
      </x:c>
      <x:c r="E93" s="40" t="n">
        <x:f>IFERROR((1+B93)/(1+B87)-1,"")</x:f>
        <x:v>0.03685596088755161</x:v>
      </x:c>
      <x:c r="F93" s="36" t="n">
        <x:v>3.7373042560991507</x:v>
      </x:c>
      <x:c r="G93" s="40" t="n">
        <x:f>IFERROR(F93/F90-1,"")</x:f>
        <x:v>0.04590710705924095</x:v>
      </x:c>
      <x:c r="H93" s="38" t="n">
        <x:v>79623.17845954049</x:v>
      </x:c>
      <x:c r="I93" s="40" t="n">
        <x:f>IFERROR(H93/H92-1,"")</x:f>
        <x:v>0</x:v>
      </x:c>
      <x:c r="J93" s="40" t="n">
        <x:f>IFERROR(H93/H90-1,"")</x:f>
        <x:v>0.014471831217335085</x:v>
      </x:c>
      <x:c r="K93" s="40" t="n">
        <x:f>IFERROR(H93/H87-1,"")</x:f>
        <x:v>-0.042188554318966176</x:v>
      </x:c>
      <x:c r="L93" s="40" t="n">
        <x:f>IFERROR(J93-J92,"")</x:f>
        <x:v>0</x:v>
      </x:c>
      <x:c r="M93" s="40" t="n">
        <x:f>IFERROR(J93-D93,"")</x:f>
        <x:v>-0.016664213663450278</x:v>
      </x:c>
      <x:c r="N93" s="42" t="str">
        <x:f>IF(J93&lt;0,IF(D93&lt;0,"Down-cycle","Price up / earnings down"),IF(AND(J93&gt;0,L93&lt;0,M93&lt;-0.15),"Late-cycle warning",IF(AND(J93&gt;0,M93&gt;0),"Earnings-led expansion",IF(AND(J93&gt;0,D93&lt;0),"Potential dislocation",IF(AND(J93&gt;0,M93&lt;0),"Price ahead / rerating","Neutral")))))</x:f>
        <x:v>Price ahead / rerating</x:v>
      </x:c>
      <x:c r="O93" s="40" t="n">
        <x:v>0.07032393454120012</x:v>
      </x:c>
      <x:c r="P93" s="40" t="n">
        <x:v>0.5</x:v>
      </x:c>
      <x:c r="Q93" s="40" t="n">
        <x:v>0.6416038102294154</x:v>
      </x:c>
      <x:c r="R93" s="40" t="n">
        <x:v>0.3380281690140845</x:v>
      </x:c>
      <x:c r="S93" s="40" t="n">
        <x:v>0.6619718309859155</x:v>
      </x:c>
      <x:c r="T93" s="40" t="n">
        <x:v>0.5368366845390717</x:v>
      </x:c>
      <x:c r="U93" s="40" t="n">
        <x:v>0.7610972318326342</x:v>
      </x:c>
      <x:c r="V93" s="40" t="n">
        <x:v>0.5751626556623513</x:v>
      </x:c>
      <x:c r="W93" s="64" t="str">
        <x:v>Stage 6 – Broad Recovery</x:v>
      </x:c>
      <x:c r="X93" s="64" t="str">
        <x:v>Rev3M +1.4%; Accel3M +7.0ppt; Stock3M +3.1%; EV/EBITDA 3.7x (34th pct); PeakRatio36M 76%; Multiple3M +4.6%; Earnings-Price Gap -1.7%; CycleHeat 58%. Forward EBITDA revisions are positive and non-decelerating, with earnings recovering toward normal cycle levels.</x:v>
      </x:c>
    </x:row>
    <x:row r="94">
      <x:c r="A94" s="32" t="n">
        <x:v>45838</x:v>
      </x:c>
      <x:c r="B94" s="33" t="n">
        <x:v>0.1735</x:v>
      </x:c>
      <x:c r="C94" s="40" t="n">
        <x:f>IFERROR((1+B94)/(1+B93)-1,"")</x:f>
        <x:v>0.06410953935437069</x:v>
      </x:c>
      <x:c r="D94" s="40" t="n">
        <x:f>IFERROR((1+B94)/(1+B91)-1,"")</x:f>
        <x:v>0.03464997354963839</x:v>
      </x:c>
      <x:c r="E94" s="40" t="n">
        <x:f>IFERROR((1+B94)/(1+B88)-1,"")</x:f>
        <x:v>0.12404214559386961</x:v>
      </x:c>
      <x:c r="F94" s="36" t="n">
        <x:v>4.149945452581725</x:v>
      </x:c>
      <x:c r="G94" s="40" t="n">
        <x:f>IFERROR(F94/F91-1,"")</x:f>
        <x:v>0.2934823910270432</x:v>
      </x:c>
      <x:c r="H94" s="38" t="n">
        <x:v>76263.9916700513</x:v>
      </x:c>
      <x:c r="I94" s="40" t="n">
        <x:f>IFERROR(H94/H93-1,"")</x:f>
        <x:v>-0.04218855431896784</x:v>
      </x:c>
      <x:c r="J94" s="40" t="n">
        <x:f>IFERROR(H94/H91-1,"")</x:f>
        <x:v>-0.11496577876820335</x:v>
      </x:c>
      <x:c r="K94" s="40" t="n">
        <x:f>IFERROR(H94/H88-1,"")</x:f>
        <x:v>-0.0759828302088087</x:v>
      </x:c>
      <x:c r="L94" s="40" t="n">
        <x:f>IFERROR(J94-J93,"")</x:f>
        <x:v>-0.12943760998553844</x:v>
      </x:c>
      <x:c r="M94" s="40" t="n">
        <x:f>IFERROR(J94-D94,"")</x:f>
        <x:v>-0.14961575231784174</x:v>
      </x:c>
      <x:c r="N94" s="42" t="str">
        <x:f>IF(J94&lt;0,IF(D94&lt;0,"Down-cycle","Price up / earnings down"),IF(AND(J94&gt;0,L94&lt;0,M94&lt;-0.15),"Late-cycle warning",IF(AND(J94&gt;0,M94&gt;0),"Earnings-led expansion",IF(AND(J94&gt;0,D94&lt;0),"Potential dislocation",IF(AND(J94&gt;0,M94&lt;0),"Price ahead / rerating","Neutral")))))</x:f>
        <x:v>Price up / earnings down</x:v>
      </x:c>
      <x:c r="O94" s="40" t="n">
        <x:v>-0.15901260500859193</x:v>
      </x:c>
      <x:c r="P94" s="40" t="n">
        <x:v>0.17647058823529332</x:v>
      </x:c>
      <x:c r="Q94" s="40" t="n">
        <x:v>0.07641885602525834</x:v>
      </x:c>
      <x:c r="R94" s="40" t="n">
        <x:v>0.4485015573856033</x:v>
      </x:c>
      <x:c r="S94" s="40" t="n">
        <x:v>0.5514984426143967</x:v>
      </x:c>
      <x:c r="T94" s="40" t="n">
        <x:v>0.5430529902079587</x:v>
      </x:c>
      <x:c r="U94" s="40" t="n">
        <x:v>0.7289876399254471</x:v>
      </x:c>
      <x:c r="V94" s="40" t="n">
        <x:v>0.29977970645313834</x:v>
      </x:c>
      <x:c r="W94" s="64" t="str">
        <x:v>Stage 13 – Mixed / Transition</x:v>
      </x:c>
      <x:c r="X94" s="64" t="str">
        <x:v>Rev3M -11.5%; Accel3M -15.9ppt; Stock3M +3.5%; EV/EBITDA 4.1x (45th pct); PeakRatio36M 73%; Multiple3M +29.3%; Earnings-Price Gap -15.0%; CycleHeat 30%. Signals do not fit one dominant state; treat as a transition and require confirmation from the next 1–3 monthly observations.</x:v>
      </x:c>
    </x:row>
    <x:row r="95">
      <x:c r="A95" s="32" t="n">
        <x:v>45869</x:v>
      </x:c>
      <x:c r="B95" s="33" t="n">
        <x:v>0.4011</x:v>
      </x:c>
      <x:c r="C95" s="40" t="n">
        <x:f>IFERROR((1+B95)/(1+B94)-1,"")</x:f>
        <x:v>0.19394972305070302</x:v>
      </x:c>
      <x:c r="D95" s="40" t="n">
        <x:f>IFERROR((1+B95)/(1+B92)-1,"")</x:f>
        <x:v>0.2864750711596731</x:v>
      </x:c>
      <x:c r="E95" s="40" t="n">
        <x:f>IFERROR((1+B95)/(1+B89)-1,"")</x:f>
        <x:v>0.36254011475250425</x:v>
      </x:c>
      <x:c r="F95" s="36" t="n">
        <x:v>4.936461597176513</x:v>
      </x:c>
      <x:c r="G95" s="40" t="n">
        <x:f>IFERROR(F95/F92-1,"")</x:f>
        <x:v>0.4149684258410391</x:v>
      </x:c>
      <x:c r="H95" s="38" t="n">
        <x:v>77367.67128546053</x:v>
      </x:c>
      <x:c r="I95" s="40" t="n">
        <x:f>IFERROR(H95/H94-1,"")</x:f>
        <x:v>0.014471831217335085</x:v>
      </x:c>
      <x:c r="J95" s="40" t="n">
        <x:f>IFERROR(H95/H92-1,"")</x:f>
        <x:v>-0.028327268739040234</x:v>
      </x:c>
      <x:c r="K95" s="40" t="n">
        <x:f>IFERROR(H95/H89-1,"")</x:f>
        <x:v>-0.014265384973744744</x:v>
      </x:c>
      <x:c r="L95" s="40" t="n">
        <x:f>IFERROR(J95-J94,"")</x:f>
        <x:v>0.08663851002916312</x:v>
      </x:c>
      <x:c r="M95" s="40" t="n">
        <x:f>IFERROR(J95-D95,"")</x:f>
        <x:v>-0.3148023398987133</x:v>
      </x:c>
      <x:c r="N95" s="42" t="str">
        <x:f>IF(J95&lt;0,IF(D95&lt;0,"Down-cycle","Price up / earnings down"),IF(AND(J95&gt;0,L95&lt;0,M95&lt;-0.15),"Late-cycle warning",IF(AND(J95&gt;0,M95&gt;0),"Earnings-led expansion",IF(AND(J95&gt;0,D95&lt;0),"Potential dislocation",IF(AND(J95&gt;0,M95&lt;0),"Price ahead / rerating","Neutral")))))</x:f>
        <x:v>Price up / earnings down</x:v>
      </x:c>
      <x:c r="O95" s="40" t="n">
        <x:v>-0.04279909995637532</x:v>
      </x:c>
      <x:c r="P95" s="40" t="n">
        <x:v>0.38235294117647056</x:v>
      </x:c>
      <x:c r="Q95" s="40" t="n">
        <x:v>0.331674591051663</x:v>
      </x:c>
      <x:c r="R95" s="40" t="n">
        <x:v>0.7168631762171173</x:v>
      </x:c>
      <x:c r="S95" s="40" t="n">
        <x:v>0.28313682378288274</x:v>
      </x:c>
      <x:c r="T95" s="40" t="n">
        <x:v>0.9753006457195248</x:v>
      </x:c>
      <x:c r="U95" s="40" t="n">
        <x:v>0.7395374260099716</x:v>
      </x:c>
      <x:c r="V95" s="40" t="n">
        <x:v>0.4684296710751619</x:v>
      </x:c>
      <x:c r="W95" s="64" t="str">
        <x:v>Stage 13 – Mixed / Transition</x:v>
      </x:c>
      <x:c r="X95" s="64" t="str">
        <x:v>Rev3M -2.8%; Accel3M -4.3ppt; Stock3M +28.6%; EV/EBITDA 4.9x (72th pct); PeakRatio36M 74%; Multiple3M +41.5%; Earnings-Price Gap -31.5%; CycleHeat 47%. Signals do not fit one dominant state; treat as a transition and require confirmation from the next 1–3 monthly observations.</x:v>
      </x:c>
    </x:row>
    <x:row r="96">
      <x:c r="A96" s="32" t="n">
        <x:v>45900</x:v>
      </x:c>
      <x:c r="B96" s="33" t="n">
        <x:v>0.3677</x:v>
      </x:c>
      <x:c r="C96" s="40" t="n">
        <x:f>IFERROR((1+B96)/(1+B95)-1,"")</x:f>
        <x:v>-0.023838412675754705</x:v>
      </x:c>
      <x:c r="D96" s="40" t="n">
        <x:f>IFERROR((1+B96)/(1+B93)-1,"")</x:f>
        <x:v>0.24020674646354756</x:v>
      </x:c>
      <x:c r="E96" s="40" t="n">
        <x:f>IFERROR((1+B96)/(1+B90)-1,"")</x:f>
        <x:v>0.27882187938288916</x:v>
      </x:c>
      <x:c r="F96" s="36" t="n">
        <x:v>4.848624115176458</x:v>
      </x:c>
      <x:c r="G96" s="40" t="n">
        <x:f>IFERROR(F96/F93-1,"")</x:f>
        <x:v>0.29735867965892027</x:v>
      </x:c>
      <x:c r="H96" s="38" t="n">
        <x:v>80775.4716591947</x:v>
      </x:c>
      <x:c r="I96" s="40" t="n">
        <x:f>IFERROR(H96/H95-1,"")</x:f>
        <x:v>0.04404682624038858</x:v>
      </x:c>
      <x:c r="J96" s="40" t="n">
        <x:f>IFERROR(H96/H93-1,"")</x:f>
        <x:v>0.014471831217335085</x:v>
      </x:c>
      <x:c r="K96" s="40" t="n">
        <x:f>IFERROR(H96/H90-1,"")</x:f>
        <x:v>0.029153096333452977</x:v>
      </x:c>
      <x:c r="L96" s="40" t="n">
        <x:f>IFERROR(J96-J95,"")</x:f>
        <x:v>0.04279909995637532</x:v>
      </x:c>
      <x:c r="M96" s="40" t="n">
        <x:f>IFERROR(J96-D96,"")</x:f>
        <x:v>-0.22573491524621248</x:v>
      </x:c>
      <x:c r="N96" s="42" t="str">
        <x:f>IF(J96&lt;0,IF(D96&lt;0,"Down-cycle","Price up / earnings down"),IF(AND(J96&gt;0,L96&lt;0,M96&lt;-0.15),"Late-cycle warning",IF(AND(J96&gt;0,M96&gt;0),"Earnings-led expansion",IF(AND(J96&gt;0,D96&lt;0),"Potential dislocation",IF(AND(J96&gt;0,M96&lt;0),"Price ahead / rerating","Neutral")))))</x:f>
        <x:v>Price ahead / rerating</x:v>
      </x:c>
      <x:c r="O96" s="40" t="n">
        <x:v>0</x:v>
      </x:c>
      <x:c r="P96" s="40" t="n">
        <x:v>0.5</x:v>
      </x:c>
      <x:c r="Q96" s="40" t="n">
        <x:v>0.4307692307692308</x:v>
      </x:c>
      <x:c r="R96" s="40" t="n">
        <x:v>0.7125747135353497</x:v>
      </x:c>
      <x:c r="S96" s="40" t="n">
        <x:v>0.28742528646465026</x:v>
      </x:c>
      <x:c r="T96" s="40" t="n">
        <x:v>0.970907869669765</x:v>
      </x:c>
      <x:c r="U96" s="40" t="n">
        <x:v>0.772111702511697</x:v>
      </x:c>
      <x:c r="V96" s="40" t="n">
        <x:v>0.5343589389191907</x:v>
      </x:c>
      <x:c r="W96" s="64" t="str">
        <x:v>Stage 6 – Broad Recovery</x:v>
      </x:c>
      <x:c r="X96" s="64" t="str">
        <x:v>Rev3M +1.4%; Accel3M +0.0ppt; Stock3M +24.0%; EV/EBITDA 4.8x (71th pct); PeakRatio36M 77%; Multiple3M +29.7%; Earnings-Price Gap -22.6%; CycleHeat 53%. Forward EBITDA revisions are positive and non-decelerating, with earnings recovering toward normal cycle levels.</x:v>
      </x:c>
    </x:row>
    <x:row r="97">
      <x:c r="A97" s="32" t="n">
        <x:v>45930</x:v>
      </x:c>
      <x:c r="B97" s="33" t="n">
        <x:v>0.6464</x:v>
      </x:c>
      <x:c r="C97" s="40" t="n">
        <x:f>IFERROR((1+B97)/(1+B96)-1,"")</x:f>
        <x:v>0.20377275718359278</x:v>
      </x:c>
      <x:c r="D97" s="40" t="n">
        <x:f>IFERROR((1+B97)/(1+B94)-1,"")</x:f>
        <x:v>0.4029825308904984</x:v>
      </x:c>
      <x:c r="E97" s="40" t="n">
        <x:f>IFERROR((1+B97)/(1+B91)-1,"")</x:f>
        <x:v>0.4515958384764589</x:v>
      </x:c>
      <x:c r="F97" s="36" t="n">
        <x:v>5.564131692492669</x:v>
      </x:c>
      <x:c r="G97" s="40" t="n">
        <x:f>IFERROR(F97/F94-1,"")</x:f>
        <x:v>0.3407722477487418</x:v>
      </x:c>
      <x:c r="H97" s="38" t="n">
        <x:v>91268.19022519911</x:v>
      </x:c>
      <x:c r="I97" s="40" t="n">
        <x:f>IFERROR(H97/H96-1,"")</x:f>
        <x:v>0.12989981179280452</x:v>
      </x:c>
      <x:c r="J97" s="40" t="n">
        <x:f>IFERROR(H97/H94-1,"")</x:f>
        <x:v>0.1967402731824215</x:v>
      </x:c>
      <x:c r="K97" s="40" t="n">
        <x:f>IFERROR(H97/H91-1,"")</x:f>
        <x:v>0.05915609569273195</x:v>
      </x:c>
      <x:c r="L97" s="40" t="n">
        <x:f>IFERROR(J97-J96,"")</x:f>
        <x:v>0.1822684419650864</x:v>
      </x:c>
      <x:c r="M97" s="40" t="n">
        <x:f>IFERROR(J97-D97,"")</x:f>
        <x:v>-0.20624225770807691</x:v>
      </x:c>
      <x:c r="N97" s="42" t="str">
        <x:f>IF(J97&lt;0,IF(D97&lt;0,"Down-cycle","Price up / earnings down"),IF(AND(J97&gt;0,L97&lt;0,M97&lt;-0.15),"Late-cycle warning",IF(AND(J97&gt;0,M97&gt;0),"Earnings-led expansion",IF(AND(J97&gt;0,D97&lt;0),"Potential dislocation",IF(AND(J97&gt;0,M97&lt;0),"Price ahead / rerating","Neutral")))))</x:f>
        <x:v>Price ahead / rerating</x:v>
      </x:c>
      <x:c r="O97" s="40" t="n">
        <x:v>0.31170605195062484</x:v>
      </x:c>
      <x:c r="P97" s="40" t="n">
        <x:v>0.9793483017093342</x:v>
      </x:c>
      <x:c r="Q97" s="40" t="n">
        <x:v>1</x:v>
      </x:c>
      <x:c r="R97" s="40" t="n">
        <x:v>0.8098380824319469</x:v>
      </x:c>
      <x:c r="S97" s="40" t="n">
        <x:v>0.19016191756805312</x:v>
      </x:c>
      <x:c r="T97" s="40" t="n">
        <x:v>0.9881965127613157</x:v>
      </x:c>
      <x:c r="U97" s="40" t="n">
        <x:v>0.8724088673509883</x:v>
      </x:c>
      <x:c r="V97" s="40" t="n">
        <x:v>0.8284435916641407</x:v>
      </x:c>
      <x:c r="W97" s="64" t="str">
        <x:v>Stage 7 – Earnings Acceleration</x:v>
      </x:c>
      <x:c r="X97" s="64" t="str">
        <x:v>Rev3M +19.7%; Accel3M +31.2ppt; Stock3M +40.3%; EV/EBITDA 5.6x (81th pct); PeakRatio36M 87%; Multiple3M +34.1%; Earnings-Price Gap -20.6%; CycleHeat 83%. EBITDA revision strength is in a high historical percentile and revision momentum is still accelerating.</x:v>
      </x:c>
    </x:row>
    <x:row r="98">
      <x:c r="A98" s="32" t="n">
        <x:v>45961</x:v>
      </x:c>
      <x:c r="B98" s="33" t="n">
        <x:v>1.1095</x:v>
      </x:c>
      <x:c r="C98" s="40" t="n">
        <x:f>IFERROR((1+B98)/(1+B97)-1,"")</x:f>
        <x:v>0.2812803692905732</x:v>
      </x:c>
      <x:c r="D98" s="40" t="n">
        <x:f>IFERROR((1+B98)/(1+B95)-1,"")</x:f>
        <x:v>0.5056027407037325</x:v>
      </x:c>
      <x:c r="E98" s="40" t="n">
        <x:f>IFERROR((1+B98)/(1+B92)-1,"")</x:f>
        <x:v>0.9369203929850334</x:v>
      </x:c>
      <x:c r="F98" s="36" t="n">
        <x:v>4.848624115176458</x:v>
      </x:c>
      <x:c r="G98" s="40" t="n">
        <x:f>IFERROR(F98/F95-1,"")</x:f>
        <x:v>-0.017793611936593456</x:v>
      </x:c>
      <x:c r="H98" s="38" t="n">
        <x:v>115685.60316396755</x:v>
      </x:c>
      <x:c r="I98" s="40" t="n">
        <x:f>IFERROR(H98/H97-1,"")</x:f>
        <x:v>0.26753475530214677</x:v>
      </x:c>
      <x:c r="J98" s="40" t="n">
        <x:f>IFERROR(H98/H95-1,"")</x:f>
        <x:v>0.4952705857867534</x:v>
      </x:c>
      <x:c r="K98" s="40" t="n">
        <x:f>IFERROR(H98/H92-1,"")</x:f>
        <x:v>0.45291365406559003</x:v>
      </x:c>
      <x:c r="L98" s="40" t="n">
        <x:f>IFERROR(J98-J97,"")</x:f>
        <x:v>0.29853031260433194</x:v>
      </x:c>
      <x:c r="M98" s="40" t="n">
        <x:f>IFERROR(J98-D98,"")</x:f>
        <x:v>-0.01033215491697903</x:v>
      </x:c>
      <x:c r="N98" s="42" t="str">
        <x:f>IF(J98&lt;0,IF(D98&lt;0,"Down-cycle","Price up / earnings down"),IF(AND(J98&gt;0,L98&lt;0,M98&lt;-0.15),"Late-cycle warning",IF(AND(J98&gt;0,M98&gt;0),"Earnings-led expansion",IF(AND(J98&gt;0,D98&lt;0),"Potential dislocation",IF(AND(J98&gt;0,M98&lt;0),"Price ahead / rerating","Neutral")))))</x:f>
        <x:v>Price ahead / rerating</x:v>
      </x:c>
      <x:c r="O98" s="40" t="n">
        <x:v>0.5235978545257937</x:v>
      </x:c>
      <x:c r="P98" s="40" t="n">
        <x:v>1</x:v>
      </x:c>
      <x:c r="Q98" s="40" t="n">
        <x:v>1</x:v>
      </x:c>
      <x:c r="R98" s="40" t="n">
        <x:v>0.7125747135353497</x:v>
      </x:c>
      <x:c r="S98" s="40" t="n">
        <x:v>0.28742528646465026</x:v>
      </x:c>
      <x:c r="T98" s="40" t="n">
        <x:v>1</x:v>
      </x:c>
      <x:c r="U98" s="40" t="n">
        <x:v>1</x:v>
      </x:c>
      <x:c r="V98" s="40" t="n">
        <x:v>0.85748505729293</x:v>
      </x:c>
      <x:c r="W98" s="64" t="str">
        <x:v>Stage 7 – Earnings Acceleration</x:v>
      </x:c>
      <x:c r="X98" s="64" t="str">
        <x:v>Rev3M +49.5%; Accel3M +52.4ppt; Stock3M +50.6%; EV/EBITDA 4.8x (71th pct); PeakRatio36M 100%; Multiple3M -1.8%; Earnings-Price Gap -1.0%; CycleHeat 86%. EBITDA revision strength is in a high historical percentile and revision momentum is still accelerating.</x:v>
      </x:c>
    </x:row>
    <x:row r="99">
      <x:c r="A99" s="32" t="n">
        <x:v>45991</x:v>
      </x:c>
      <x:c r="B99" s="33" t="n">
        <x:v>0.9721</x:v>
      </x:c>
      <x:c r="C99" s="40" t="n">
        <x:f>IFERROR((1+B99)/(1+B98)-1,"")</x:f>
        <x:v>-0.06513391799004498</x:v>
      </x:c>
      <x:c r="D99" s="40" t="n">
        <x:f>IFERROR((1+B99)/(1+B96)-1,"")</x:f>
        <x:v>0.44190977553557054</x:v>
      </x:c>
      <x:c r="E99" s="40" t="n">
        <x:f>IFERROR((1+B99)/(1+B93)-1,"")</x:f>
        <x:v>0.7882662314109539</x:v>
      </x:c>
      <x:c r="F99" s="36" t="n">
        <x:v>4.705687771308049</x:v>
      </x:c>
      <x:c r="G99" s="40" t="n">
        <x:f>IFERROR(F99/F96-1,"")</x:f>
        <x:v>-0.029479774153044924</x:v>
      </x:c>
      <x:c r="H99" s="38" t="n">
        <x:v>133560.87030239028</x:v>
      </x:c>
      <x:c r="I99" s="40" t="n">
        <x:f>IFERROR(H99/H98-1,"")</x:f>
        <x:v>0.15451591770747086</x:v>
      </x:c>
      <x:c r="J99" s="40" t="n">
        <x:f>IFERROR(H99/H96-1,"")</x:f>
        <x:v>0.6534830135799892</x:v>
      </x:c>
      <x:c r="K99" s="40" t="n">
        <x:f>IFERROR(H99/H93-1,"")</x:f>
        <x:v>0.6774119406732493</x:v>
      </x:c>
      <x:c r="L99" s="40" t="n">
        <x:f>IFERROR(J99-J98,"")</x:f>
        <x:v>0.15821242779323574</x:v>
      </x:c>
      <x:c r="M99" s="40" t="n">
        <x:f>IFERROR(J99-D99,"")</x:f>
        <x:v>0.21157323804441863</x:v>
      </x:c>
      <x:c r="N99" s="42" t="str">
        <x:f>IF(J99&lt;0,IF(D99&lt;0,"Down-cycle","Price up / earnings down"),IF(AND(J99&gt;0,L99&lt;0,M99&lt;-0.15),"Late-cycle warning",IF(AND(J99&gt;0,M99&gt;0),"Earnings-led expansion",IF(AND(J99&gt;0,D99&lt;0),"Potential dislocation",IF(AND(J99&gt;0,M99&lt;0),"Price ahead / rerating","Neutral")))))</x:f>
        <x:v>Earnings-led expansion</x:v>
      </x:c>
      <x:c r="O99" s="40" t="n">
        <x:v>0.6390111823626541</x:v>
      </x:c>
      <x:c r="P99" s="40" t="n">
        <x:v>1</x:v>
      </x:c>
      <x:c r="Q99" s="40" t="n">
        <x:v>1</x:v>
      </x:c>
      <x:c r="R99" s="40" t="n">
        <x:v>0.7055961758702151</x:v>
      </x:c>
      <x:c r="S99" s="40" t="n">
        <x:v>0.29440382412978494</x:v>
      </x:c>
      <x:c r="T99" s="40" t="n">
        <x:v>0.998241158625869</x:v>
      </x:c>
      <x:c r="U99" s="40" t="n">
        <x:v>1</x:v>
      </x:c>
      <x:c r="V99" s="40" t="n">
        <x:v>0.8585289965511307</x:v>
      </x:c>
      <x:c r="W99" s="64" t="str">
        <x:v>Stage 7 – Earnings Acceleration</x:v>
      </x:c>
      <x:c r="X99" s="64" t="str">
        <x:v>Rev3M +65.3%; Accel3M +63.9ppt; Stock3M +44.2%; EV/EBITDA 4.7x (71th pct); PeakRatio36M 100%; Multiple3M -2.9%; Earnings-Price Gap +21.2%; CycleHeat 86%. EBITDA revision strength is in a high historical percentile and revision momentum is still accelerating.</x:v>
      </x:c>
    </x:row>
    <x:row r="100">
      <x:c r="A100" s="32" t="n">
        <x:v>46022</x:v>
      </x:c>
      <x:c r="B100" s="33" t="n">
        <x:v>1.3528</x:v>
      </x:c>
      <x:c r="C100" s="40" t="n">
        <x:f>IFERROR((1+B100)/(1+B99)-1,"")</x:f>
        <x:v>0.19304294914051034</x:v>
      </x:c>
      <x:c r="D100" s="40" t="n">
        <x:f>IFERROR((1+B100)/(1+B97)-1,"")</x:f>
        <x:v>0.4290573372206028</x:v>
      </x:c>
      <x:c r="E100" s="40" t="n">
        <x:f>IFERROR((1+B100)/(1+B94)-1,"")</x:f>
        <x:v>1.004942479761398</x:v>
      </x:c>
      <x:c r="F100" s="36" t="n">
        <x:v>4.995902183228743</x:v>
      </x:c>
      <x:c r="G100" s="40" t="n">
        <x:f>IFERROR(F100/F97-1,"")</x:f>
        <x:v>-0.10212366289435637</x:v>
      </x:c>
      <x:c r="H100" s="38" t="n">
        <x:v>163319.9113082028</x:v>
      </x:c>
      <x:c r="I100" s="40" t="n">
        <x:f>IFERROR(H100/H99-1,"")</x:f>
        <x:v>0.22281257181415604</x:v>
      </x:c>
      <x:c r="J100" s="40" t="n">
        <x:f>IFERROR(H100/H97-1,"")</x:f>
        <x:v>0.7894505293160754</x:v>
      </x:c>
      <x:c r="K100" s="40" t="n">
        <x:f>IFERROR(H100/H94-1,"")</x:f>
        <x:v>1.141507515300149</x:v>
      </x:c>
      <x:c r="L100" s="40" t="n">
        <x:f>IFERROR(J100-J99,"")</x:f>
        <x:v>0.13596751573608623</x:v>
      </x:c>
      <x:c r="M100" s="40" t="n">
        <x:f>IFERROR(J100-D100,"")</x:f>
        <x:v>0.3603931920954726</x:v>
      </x:c>
      <x:c r="N100" s="42" t="str">
        <x:f>IF(J100&lt;0,IF(D100&lt;0,"Down-cycle","Price up / earnings down"),IF(AND(J100&gt;0,L100&lt;0,M100&lt;-0.15),"Late-cycle warning",IF(AND(J100&gt;0,M100&gt;0),"Earnings-led expansion",IF(AND(J100&gt;0,D100&lt;0),"Potential dislocation",IF(AND(J100&gt;0,M100&lt;0),"Price ahead / rerating","Neutral")))))</x:f>
        <x:v>Earnings-led expansion</x:v>
      </x:c>
      <x:c r="O100" s="40" t="n">
        <x:v>0.5927102561336539</x:v>
      </x:c>
      <x:c r="P100" s="40" t="n">
        <x:v>1</x:v>
      </x:c>
      <x:c r="Q100" s="40" t="n">
        <x:v>1</x:v>
      </x:c>
      <x:c r="R100" s="40" t="n">
        <x:v>0.7253310401784258</x:v>
      </x:c>
      <x:c r="S100" s="40" t="n">
        <x:v>0.27466895982157424</x:v>
      </x:c>
      <x:c r="T100" s="40" t="n">
        <x:v>0.9949247617797283</x:v>
      </x:c>
      <x:c r="U100" s="40" t="n">
        <x:v>1</x:v>
      </x:c>
      <x:c r="V100" s="40" t="n">
        <x:v>0.8539187443202605</x:v>
      </x:c>
      <x:c r="W100" s="64" t="str">
        <x:v>Stage 7 – Earnings Acceleration</x:v>
      </x:c>
      <x:c r="X100" s="64" t="str">
        <x:v>Rev3M +78.9%; Accel3M +59.3ppt; Stock3M +42.9%; EV/EBITDA 5.0x (73th pct); PeakRatio36M 100%; Multiple3M -10.2%; Earnings-Price Gap +36.0%; CycleHeat 85%. EBITDA revision strength is in a high historical percentile and revision momentum is still accelerating.</x:v>
      </x:c>
    </x:row>
    <x:row r="101">
      <x:c r="A101" s="32" t="n">
        <x:v>46053</x:v>
      </x:c>
      <x:c r="B101" s="33" t="n">
        <x:v>2.1495</x:v>
      </x:c>
      <x:c r="C101" s="40" t="n">
        <x:f>IFERROR((1+B101)/(1+B100)-1,"")</x:f>
        <x:v>0.33861781706902416</x:v>
      </x:c>
      <x:c r="D101" s="40" t="n">
        <x:f>IFERROR((1+B101)/(1+B98)-1,"")</x:f>
        <x:v>0.49300782175871083</x:v>
      </x:c>
      <x:c r="E101" s="40" t="n">
        <x:f>IFERROR((1+B101)/(1+B95)-1,"")</x:f>
        <x:v>1.247876668332025</x:v>
      </x:c>
      <x:c r="F101" s="36" t="n">
        <x:v>4.432332057135523</x:v>
      </x:c>
      <x:c r="G101" s="40" t="n">
        <x:f>IFERROR(F101/F98-1,"")</x:f>
        <x:v>-0.08585777081335677</x:v>
      </x:c>
      <x:c r="H101" s="38" t="n">
        <x:v>199709.6407752437</x:v>
      </x:c>
      <x:c r="I101" s="40" t="n">
        <x:f>IFERROR(H101/H100-1,"")</x:f>
        <x:v>0.22281257181415826</x:v>
      </x:c>
      <x:c r="J101" s="40" t="n">
        <x:f>IFERROR(H101/H98-1,"")</x:f>
        <x:v>0.7263136925705809</x:v>
      </x:c>
      <x:c r="K101" s="40" t="n">
        <x:f>IFERROR(H101/H95-1,"")</x:f>
        <x:v>1.5813060863417059</x:v>
      </x:c>
      <x:c r="L101" s="40" t="n">
        <x:f>IFERROR(J101-J100,"")</x:f>
        <x:v>-0.06313683674549453</x:v>
      </x:c>
      <x:c r="M101" s="40" t="n">
        <x:f>IFERROR(J101-D101,"")</x:f>
        <x:v>0.23330587081187004</x:v>
      </x:c>
      <x:c r="N101" s="42" t="str">
        <x:f>IF(J101&lt;0,IF(D101&lt;0,"Down-cycle","Price up / earnings down"),IF(AND(J101&gt;0,L101&lt;0,M101&lt;-0.15),"Late-cycle warning",IF(AND(J101&gt;0,M101&gt;0),"Earnings-led expansion",IF(AND(J101&gt;0,D101&lt;0),"Potential dislocation",IF(AND(J101&gt;0,M101&lt;0),"Price ahead / rerating","Neutral")))))</x:f>
        <x:v>Earnings-led expansion</x:v>
      </x:c>
      <x:c r="O101" s="40" t="n">
        <x:v>0.23104310678382745</x:v>
      </x:c>
      <x:c r="P101" s="40" t="n">
        <x:v>1</x:v>
      </x:c>
      <x:c r="Q101" s="40" t="n">
        <x:v>0.9797481958141457</x:v>
      </x:c>
      <x:c r="R101" s="40" t="n">
        <x:v>0.5704014627136367</x:v>
      </x:c>
      <x:c r="S101" s="40" t="n">
        <x:v>0.4295985372863633</x:v>
      </x:c>
      <x:c r="T101" s="40" t="n">
        <x:v>1</x:v>
      </x:c>
      <x:c r="U101" s="40" t="n">
        <x:v>1</x:v>
      </x:c>
      <x:c r="V101" s="40" t="n">
        <x:v>0.880856756410809</x:v>
      </x:c>
      <x:c r="W101" s="64" t="str">
        <x:v>Stage 7 – Earnings Acceleration</x:v>
      </x:c>
      <x:c r="X101" s="64" t="str">
        <x:v>Rev3M +72.6%; Accel3M +23.1ppt; Stock3M +49.3%; EV/EBITDA 4.4x (57th pct); PeakRatio36M 100%; Multiple3M -8.6%; Earnings-Price Gap +23.3%; CycleHeat 88%. EBITDA revision strength is in a high historical percentile and revision momentum is still accelerating.</x:v>
      </x:c>
    </x:row>
    <x:row r="102">
      <x:c r="A102" s="32" t="n">
        <x:v>46081</x:v>
      </x:c>
      <x:c r="B102" s="33" t="n">
        <x:v>3.2484</x:v>
      </x:c>
      <x:c r="C102" s="40" t="n">
        <x:f>IFERROR((1+B102)/(1+B101)-1,"")</x:f>
        <x:v>0.3489125257977457</x:v>
      </x:c>
      <x:c r="D102" s="40" t="n">
        <x:f>IFERROR((1+B102)/(1+B99)-1,"")</x:f>
        <x:v>1.1542518127883983</x:v>
      </x:c>
      <x:c r="E102" s="40" t="n">
        <x:f>IFERROR((1+B102)/(1+B96)-1,"")</x:f>
        <x:v>2.1062367478248154</x:v>
      </x:c>
      <x:c r="F102" s="36" t="n">
        <x:v>4.566965158575143</x:v>
      </x:c>
      <x:c r="G102" s="40" t="n">
        <x:f>IFERROR(F102/F99-1,"")</x:f>
        <x:v>-0.029479774153044702</x:v>
      </x:c>
      <x:c r="H102" s="38" t="n">
        <x:v>242459.34596926183</x:v>
      </x:c>
      <x:c r="I102" s="40" t="n">
        <x:f>IFERROR(H102/H101-1,"")</x:f>
        <x:v>0.21405929642690258</x:v>
      </x:c>
      <x:c r="J102" s="40" t="n">
        <x:f>IFERROR(H102/H99-1,"")</x:f>
        <x:v>0.8153471553481084</x:v>
      </x:c>
      <x:c r="K102" s="40" t="n">
        <x:f>IFERROR(H102/H96-1,"")</x:f>
        <x:v>2.001645685118851</x:v>
      </x:c>
      <x:c r="L102" s="40" t="n">
        <x:f>IFERROR(J102-J101,"")</x:f>
        <x:v>0.08903346277752755</x:v>
      </x:c>
      <x:c r="M102" s="40" t="n">
        <x:f>IFERROR(J102-D102,"")</x:f>
        <x:v>-0.33890465744028986</x:v>
      </x:c>
      <x:c r="N102" s="42" t="str">
        <x:f>IF(J102&lt;0,IF(D102&lt;0,"Down-cycle","Price up / earnings down"),IF(AND(J102&gt;0,L102&lt;0,M102&lt;-0.15),"Late-cycle warning",IF(AND(J102&gt;0,M102&gt;0),"Earnings-led expansion",IF(AND(J102&gt;0,D102&lt;0),"Potential dislocation",IF(AND(J102&gt;0,M102&lt;0),"Price ahead / rerating","Neutral")))))</x:f>
        <x:v>Price ahead / rerating</x:v>
      </x:c>
      <x:c r="O102" s="40" t="n">
        <x:v>0.16186414176811925</x:v>
      </x:c>
      <x:c r="P102" s="40" t="n">
        <x:v>1</x:v>
      </x:c>
      <x:c r="Q102" s="40" t="n">
        <x:v>0.9160685559052263</x:v>
      </x:c>
      <x:c r="R102" s="40" t="n">
        <x:v>0.6929241316711162</x:v>
      </x:c>
      <x:c r="S102" s="40" t="n">
        <x:v>0.3070758683288838</x:v>
      </x:c>
      <x:c r="T102" s="40" t="n">
        <x:v>1</x:v>
      </x:c>
      <x:c r="U102" s="40" t="n">
        <x:v>1</x:v>
      </x:c>
      <x:c r="V102" s="40" t="n">
        <x:v>0.8404323126420834</x:v>
      </x:c>
      <x:c r="W102" s="64" t="str">
        <x:v>Stage 7 – Earnings Acceleration</x:v>
      </x:c>
      <x:c r="X102" s="64" t="str">
        <x:v>Rev3M +81.5%; Accel3M +16.2ppt; Stock3M +115.4%; EV/EBITDA 4.6x (69th pct); PeakRatio36M 100%; Multiple3M -2.9%; Earnings-Price Gap -33.9%; CycleHeat 84%. EBITDA revision strength is in a high historical percentile and revision momentum is still accelerating.</x:v>
      </x:c>
    </x:row>
    <x:row r="103">
      <x:c r="A103" s="32" t="n">
        <x:v>46112</x:v>
      </x:c>
      <x:c r="B103" s="33" t="n">
        <x:v>2.281</x:v>
      </x:c>
      <x:c r="C103" s="40" t="n">
        <x:f>IFERROR((1+B103)/(1+B102)-1,"")</x:f>
        <x:v>-0.22770925524903496</x:v>
      </x:c>
      <x:c r="D103" s="40" t="n">
        <x:f>IFERROR((1+B103)/(1+B100)-1,"")</x:f>
        <x:v>0.3945086705202312</x:v>
      </x:c>
      <x:c r="E103" s="40" t="n">
        <x:f>IFERROR((1+B103)/(1+B97)-1,"")</x:f>
        <x:v>0.9928328474246844</x:v>
      </x:c>
      <x:c r="F103" s="36" t="n">
        <x:v>3.0675295388188557</x:v>
      </x:c>
      <x:c r="G103" s="40" t="n">
        <x:f>IFERROR(F103/F100-1,"")</x:f>
        <x:v>-0.3859908728564462</x:v>
      </x:c>
      <x:c r="H103" s="38" t="n">
        <x:v>357370.5223947831</x:v>
      </x:c>
      <x:c r="I103" s="40" t="n">
        <x:f>IFERROR(H103/H102-1,"")</x:f>
        <x:v>0.4739399752405886</x:v>
      </x:c>
      <x:c r="J103" s="40" t="n">
        <x:f>IFERROR(H103/H100-1,"")</x:f>
        <x:v>1.1881626038871969</x:v>
      </x:c>
      <x:c r="K103" s="40" t="n">
        <x:f>IFERROR(H103/H97-1,"")</x:f>
        <x:v>2.915608729755586</x:v>
      </x:c>
      <x:c r="L103" s="40" t="n">
        <x:f>IFERROR(J103-J102,"")</x:f>
        <x:v>0.37281544853908843</x:v>
      </x:c>
      <x:c r="M103" s="40" t="n">
        <x:f>IFERROR(J103-D103,"")</x:f>
        <x:v>0.7936539333669657</x:v>
      </x:c>
      <x:c r="N103" s="42" t="str">
        <x:f>IF(J103&lt;0,IF(D103&lt;0,"Down-cycle","Price up / earnings down"),IF(AND(J103&gt;0,L103&lt;0,M103&lt;-0.15),"Late-cycle warning",IF(AND(J103&gt;0,M103&gt;0),"Earnings-led expansion",IF(AND(J103&gt;0,D103&lt;0),"Potential dislocation",IF(AND(J103&gt;0,M103&lt;0),"Price ahead / rerating","Neutral")))))</x:f>
        <x:v>Earnings-led expansion</x:v>
      </x:c>
      <x:c r="O103" s="40" t="n">
        <x:v>0.39871207457112146</x:v>
      </x:c>
      <x:c r="P103" s="40" t="n">
        <x:v>1</x:v>
      </x:c>
      <x:c r="Q103" s="40" t="n">
        <x:v>1</x:v>
      </x:c>
      <x:c r="R103" s="40" t="n">
        <x:v>0.16196129471351497</x:v>
      </x:c>
      <x:c r="S103" s="40" t="n">
        <x:v>0.838038705286485</x:v>
      </x:c>
      <x:c r="T103" s="40" t="n">
        <x:v>0.9860099483820212</x:v>
      </x:c>
      <x:c r="U103" s="40" t="n">
        <x:v>1</x:v>
      </x:c>
      <x:c r="V103" s="40" t="n">
        <x:v>0.9648097307337012</x:v>
      </x:c>
      <x:c r="W103" s="64" t="str">
        <x:v>Stage 8 – High-Cycle Expansion</x:v>
      </x:c>
      <x:c r="X103" s="64" t="str">
        <x:v>Rev3M +118.8%; Accel3M +39.9ppt; Stock3M +39.5%; EV/EBITDA 3.1x (16th pct); PeakRatio36M 100%; Multiple3M -38.6%; Earnings-Price Gap +79.4%; CycleHeat 96%. Forward EBITDA is near a 36M high, revisions remain positive, and EV/EBITDA is at a low historical percentile—classic high-profit-cycle conditions.</x:v>
      </x:c>
    </x:row>
    <x:row r="104">
      <x:c r="A104" s="32" t="n">
        <x:v>46142</x:v>
      </x:c>
      <x:c r="B104" s="33" t="n">
        <x:v>3.3269</x:v>
      </x:c>
      <x:c r="C104" s="40" t="n">
        <x:f>IFERROR((1+B104)/(1+B103)-1,"")</x:f>
        <x:v>0.318774763791527</x:v>
      </x:c>
      <x:c r="D104" s="40" t="n">
        <x:f>IFERROR((1+B104)/(1+B101)-1,"")</x:f>
        <x:v>0.37383711700269884</x:v>
      </x:c>
      <x:c r="E104" s="40" t="n">
        <x:f>IFERROR((1+B104)/(1+B98)-1,"")</x:f>
        <x:v>1.0511495615074664</x:v>
      </x:c>
      <x:c r="F104" s="36" t="n">
        <x:v>3.7485041534477954</x:v>
      </x:c>
      <x:c r="G104" s="40" t="n">
        <x:f>IFERROR(F104/F101-1,"")</x:f>
        <x:v>-0.15428174037341047</x:v>
      </x:c>
      <x:c r="H104" s="38" t="n">
        <x:v>433869.0049823251</x:v>
      </x:c>
      <x:c r="I104" s="40" t="n">
        <x:f>IFERROR(H104/H103-1,"")</x:f>
        <x:v>0.2140592964269028</x:v>
      </x:c>
      <x:c r="J104" s="40" t="n">
        <x:f>IFERROR(H104/H101-1,"")</x:f>
        <x:v>1.172499050612223</x:v>
      </x:c>
      <x:c r="K104" s="40" t="n">
        <x:f>IFERROR(H104/H98-1,"")</x:f>
        <x:v>2.7504148581684684</x:v>
      </x:c>
      <x:c r="L104" s="40" t="n">
        <x:f>IFERROR(J104-J103,"")</x:f>
        <x:v>-0.015663553274973818</x:v>
      </x:c>
      <x:c r="M104" s="40" t="n">
        <x:f>IFERROR(J104-D104,"")</x:f>
        <x:v>0.7986619336095242</x:v>
      </x:c>
      <x:c r="N104" s="42" t="str">
        <x:f>IF(J104&lt;0,IF(D104&lt;0,"Down-cycle","Price up / earnings down"),IF(AND(J104&gt;0,L104&lt;0,M104&lt;-0.15),"Late-cycle warning",IF(AND(J104&gt;0,M104&gt;0),"Earnings-led expansion",IF(AND(J104&gt;0,D104&lt;0),"Potential dislocation",IF(AND(J104&gt;0,M104&lt;0),"Price ahead / rerating","Neutral")))))</x:f>
        <x:v>Earnings-led expansion</x:v>
      </x:c>
      <x:c r="O104" s="40" t="n">
        <x:v>0.44618535804164217</x:v>
      </x:c>
      <x:c r="P104" s="40" t="n">
        <x:v>1</x:v>
      </x:c>
      <x:c r="Q104" s="40" t="n">
        <x:v>1</x:v>
      </x:c>
      <x:c r="R104" s="40" t="n">
        <x:v>0.3388888333275431</x:v>
      </x:c>
      <x:c r="S104" s="40" t="n">
        <x:v>0.661111166672457</x:v>
      </x:c>
      <x:c r="T104" s="40" t="n">
        <x:v>0.9835949141020022</x:v>
      </x:c>
      <x:c r="U104" s="40" t="n">
        <x:v>1</x:v>
      </x:c>
      <x:c r="V104" s="40" t="n">
        <x:v>0.9289412161548919</x:v>
      </x:c>
      <x:c r="W104" s="64" t="str">
        <x:v>Stage 7 – Earnings Acceleration</x:v>
      </x:c>
      <x:c r="X104" s="64" t="str">
        <x:v>Rev3M +117.2%; Accel3M +44.6ppt; Stock3M +37.4%; EV/EBITDA 3.7x (34th pct); PeakRatio36M 100%; Multiple3M -15.4%; Earnings-Price Gap +79.9%; CycleHeat 93%. EBITDA revision strength is in a high historical percentile and revision momentum is still accelerating.</x:v>
      </x:c>
    </x:row>
    <x:row r="105">
      <x:c r="A105" s="32" t="n">
        <x:v>46173</x:v>
      </x:c>
      <x:c r="B105" s="33" t="n">
        <x:v>5.2206</x:v>
      </x:c>
      <x:c r="C105" s="40" t="n">
        <x:f>IFERROR((1+B105)/(1+B104)-1,"")</x:f>
        <x:v>0.4376574452841526</x:v>
      </x:c>
      <x:c r="D105" s="40" t="n">
        <x:f>IFERROR((1+B105)/(1+B102)-1,"")</x:f>
        <x:v>0.46422182468694095</x:v>
      </x:c>
      <x:c r="E105" s="40" t="n">
        <x:f>IFERROR((1+B105)/(1+B99)-1,"")</x:f>
        <x:v>2.154302520156179</x:v>
      </x:c>
      <x:c r="F105" s="36" t="n">
        <x:v>4.1748557106776145</x:v>
      </x:c>
      <x:c r="G105" s="40" t="n">
        <x:f>IFERROR(F105/F102-1,"")</x:f>
        <x:v>-0.08585777081335644</x:v>
      </x:c>
      <x:c r="H105" s="38" t="n">
        <x:v>486719.29787373263</x:v>
      </x:c>
      <x:c r="I105" s="40" t="n">
        <x:f>IFERROR(H105/H104-1,"")</x:f>
        <x:v>0.12181163504307158</x:v>
      </x:c>
      <x:c r="J105" s="40" t="n">
        <x:f>IFERROR(H105/H102-1,"")</x:f>
        <x:v>1.0074264241207564</x:v>
      </x:c>
      <x:c r="K105" s="40" t="n">
        <x:f>IFERROR(H105/H99-1,"")</x:f>
        <x:v>2.6441758485982407</x:v>
      </x:c>
      <x:c r="L105" s="40" t="n">
        <x:f>IFERROR(J105-J104,"")</x:f>
        <x:v>-0.1650726264914666</x:v>
      </x:c>
      <x:c r="M105" s="40" t="n">
        <x:f>IFERROR(J105-D105,"")</x:f>
        <x:v>0.5432045994338155</x:v>
      </x:c>
      <x:c r="N105" s="42" t="str">
        <x:f>IF(J105&lt;0,IF(D105&lt;0,"Down-cycle","Price up / earnings down"),IF(AND(J105&gt;0,L105&lt;0,M105&lt;-0.15),"Late-cycle warning",IF(AND(J105&gt;0,M105&gt;0),"Earnings-led expansion",IF(AND(J105&gt;0,D105&lt;0),"Potential dislocation",IF(AND(J105&gt;0,M105&lt;0),"Price ahead / rerating","Neutral")))))</x:f>
        <x:v>Earnings-led expansion</x:v>
      </x:c>
      <x:c r="O105" s="40" t="n">
        <x:v>0.19207926877264803</x:v>
      </x:c>
      <x:c r="P105" s="40" t="n">
        <x:v>1</x:v>
      </x:c>
      <x:c r="Q105" s="40" t="n">
        <x:v>0.9586123846633282</x:v>
      </x:c>
      <x:c r="R105" s="40" t="n">
        <x:v>0.45774647887323944</x:v>
      </x:c>
      <x:c r="S105" s="40" t="n">
        <x:v>0.5422535211267605</x:v>
      </x:c>
      <x:c r="T105" s="40" t="n">
        <x:v>1</x:v>
      </x:c>
      <x:c r="U105" s="40" t="n">
        <x:v>1</x:v>
      </x:c>
      <x:c r="V105" s="40" t="n">
        <x:v>0.8981038003911841</x:v>
      </x:c>
      <x:c r="W105" s="64" t="str">
        <x:v>Stage 7 – Earnings Acceleration</x:v>
      </x:c>
      <x:c r="X105" s="64" t="str">
        <x:v>Rev3M +100.7%; Accel3M +19.2ppt; Stock3M +46.4%; EV/EBITDA 4.2x (46th pct); PeakRatio36M 100%; Multiple3M -8.6%; Earnings-Price Gap +54.3%; CycleHeat 90%. EBITDA revision strength is in a high historical percentile and revision momentum is still accelerating.</x:v>
      </x:c>
    </x:row>
    <x:row r="106">
      <x:c r="A106" s="32" t="n">
        <x:v>46203</x:v>
      </x:c>
      <x:c r="B106" s="33" t="n">
        <x:v>5.5542</x:v>
      </x:c>
      <x:c r="C106" s="40" t="n">
        <x:f>IFERROR((1+B106)/(1+B105)-1,"")</x:f>
        <x:v>0.05362826736970705</x:v>
      </x:c>
      <x:c r="D106" s="40" t="n">
        <x:f>IFERROR((1+B106)/(1+B103)-1,"")</x:f>
        <x:v>0.9976226760134104</x:v>
      </x:c>
      <x:c r="E106" s="40" t="n">
        <x:f>IFERROR((1+B106)/(1+B100)-1,"")</x:f>
        <x:v>1.7857021421285273</x:v>
      </x:c>
      <x:c r="F106" s="36" t="n">
        <x:v>3.0219762633128315</x:v>
      </x:c>
      <x:c r="G106" s="40" t="n">
        <x:f>IFERROR(F106/F103-1,"")</x:f>
        <x:v>-0.014850150562385256</x:v>
      </x:c>
      <x:c r="H106" s="38" t="n">
        <x:v>538218.3660038719</x:v>
      </x:c>
      <x:c r="I106" s="40" t="n">
        <x:f>IFERROR(H106/H105-1,"")</x:f>
        <x:v>0.10580856020116025</x:v>
      </x:c>
      <x:c r="J106" s="40" t="n">
        <x:f>IFERROR(H106/H103-1,"")</x:f>
        <x:v>0.506051373228003</x:v>
      </x:c>
      <x:c r="K106" s="40" t="n">
        <x:f>IFERROR(H106/H100-1,"")</x:f>
        <x:v>2.2954852944304758</x:v>
      </x:c>
      <x:c r="L106" s="40" t="n">
        <x:f>IFERROR(J106-J105,"")</x:f>
        <x:v>-0.5013750508927535</x:v>
      </x:c>
      <x:c r="M106" s="40" t="n">
        <x:f>IFERROR(J106-D106,"")</x:f>
        <x:v>-0.4915713027854074</x:v>
      </x:c>
      <x:c r="N106" s="42" t="str">
        <x:f>IF(J106&lt;0,IF(D106&lt;0,"Down-cycle","Price up / earnings down"),IF(AND(J106&gt;0,L106&lt;0,M106&lt;-0.15),"Late-cycle warning",IF(AND(J106&gt;0,M106&gt;0),"Earnings-led expansion",IF(AND(J106&gt;0,D106&lt;0),"Potential dislocation",IF(AND(J106&gt;0,M106&lt;0),"Price ahead / rerating","Neutral")))))</x:f>
        <x:v>Late-cycle warning</x:v>
      </x:c>
      <x:c r="O106" s="40" t="n">
        <x:v>-0.6821112306591939</x:v>
      </x:c>
      <x:c r="P106" s="40" t="n">
        <x:v>1</x:v>
      </x:c>
      <x:c r="Q106" s="40" t="n">
        <x:v>0</x:v>
      </x:c>
      <x:c r="R106" s="40" t="n">
        <x:v>0.13378174440377774</x:v>
      </x:c>
      <x:c r="S106" s="40" t="n">
        <x:v>0.8662182555962222</x:v>
      </x:c>
      <x:c r="T106" s="40" t="n">
        <x:v>1</x:v>
      </x:c>
      <x:c r="U106" s="40" t="n">
        <x:v>1</x:v>
      </x:c>
      <x:c r="V106" s="40" t="n">
        <x:v>0.7232436511192444</x:v>
      </x:c>
      <x:c r="W106" s="64" t="str">
        <x:v>Stage 9 – Late-Cycle Deceleration</x:v>
      </x:c>
      <x:c r="X106" s="64" t="str">
        <x:v>Rev3M +50.6%; Accel3M -68.2ppt; Stock3M +99.8%; EV/EBITDA 3.0x (13th pct); PeakRatio36M 100%; Multiple3M -1.5%; Earnings-Price Gap -49.2%; CycleHeat 72%. Earnings remain near peak and revisions are still positive, but revision acceleration has turned negative while valuation remains cycle-hot.</x:v>
      </x:c>
    </x:row>
    <x:row r="107">
      <x:c r="A107" s="32" t="n">
        <x:v>46234</x:v>
      </x:c>
      <x:c r="B107" s="33" t="n">
        <x:v>4.1511</x:v>
      </x:c>
      <x:c r="C107" s="40" t="n">
        <x:f>IFERROR((1+B107)/(1+B106)-1,"")</x:f>
        <x:v>-0.21407647004973918</x:v>
      </x:c>
      <x:c r="D107" s="40" t="n">
        <x:f>IFERROR((1+B107)/(1+B104)-1,"")</x:f>
        <x:v>0.1904827936860105</x:v>
      </x:c>
      <x:c r="E107" s="40" t="n">
        <x:f>IFERROR((1+B107)/(1+B101)-1,"")</x:f>
        <x:v>0.6355294491189076</x:v>
      </x:c>
      <x:c r="F107" s="36" t="n">
        <x:v>2.227090538932969</x:v>
      </x:c>
      <x:c r="G107" s="40" t="n">
        <x:f>IFERROR(F107/F104-1,"")</x:f>
        <x:v>-0.4058721965441767</x:v>
      </x:c>
      <x:c r="H107" s="38" t="n">
        <x:v>486719.29787373263</x:v>
      </x:c>
      <x:c r="I107" s="40" t="n">
        <x:f>IFERROR(H107/H106-1,"")</x:f>
        <x:v>-0.0956843381479271</x:v>
      </x:c>
      <x:c r="J107" s="40" t="n">
        <x:f>IFERROR(H107/H104-1,"")</x:f>
        <x:v>0.12181163504307158</x:v>
      </x:c>
      <x:c r="K107" s="40" t="n">
        <x:f>IFERROR(H107/H101-1,"")</x:f>
        <x:v>1.4371347120968188</x:v>
      </x:c>
      <x:c r="L107" s="40" t="n">
        <x:f>IFERROR(J107-J106,"")</x:f>
        <x:v>-0.3842397381849314</x:v>
      </x:c>
      <x:c r="M107" s="40" t="n">
        <x:f>IFERROR(J107-D107,"")</x:f>
        <x:v>-0.06867115864293893</x:v>
      </x:c>
      <x:c r="N107" s="42" t="str">
        <x:f>IF(J107&lt;0,IF(D107&lt;0,"Down-cycle","Price up / earnings down"),IF(AND(J107&gt;0,L107&lt;0,M107&lt;-0.15),"Late-cycle warning",IF(AND(J107&gt;0,M107&gt;0),"Earnings-led expansion",IF(AND(J107&gt;0,D107&lt;0),"Potential dislocation",IF(AND(J107&gt;0,M107&lt;0),"Price ahead / rerating","Neutral")))))</x:f>
        <x:v>Price ahead / rerating</x:v>
      </x:c>
      <x:c r="O107" s="40" t="n">
        <x:v>-1.0506874155691515</x:v>
      </x:c>
      <x:c r="P107" s="40" t="n">
        <x:v>0.8823529411764706</x:v>
      </x:c>
      <x:c r="Q107" s="40" t="n">
        <x:v>0</x:v>
      </x:c>
      <x:c r="R107" s="40" t="n">
        <x:v>0</x:v>
      </x:c>
      <x:c r="S107" s="40" t="n">
        <x:v>1</x:v>
      </x:c>
      <x:c r="T107" s="40" t="n">
        <x:v>0.9443502101860962</x:v>
      </x:c>
      <x:c r="U107" s="40" t="n">
        <x:v>0.9043156618520729</x:v>
      </x:c>
      <x:c r="V107" s="40" t="n">
        <x:v>0.6976935714489839</x:v>
      </x:c>
      <x:c r="W107" s="64" t="str">
        <x:v>Stage 9 – Late-Cycle Deceleration</x:v>
      </x:c>
      <x:c r="X107" s="64" t="str">
        <x:v>Rev3M +12.2%; Accel3M -105.1ppt; Stock3M +19.0%; EV/EBITDA 2.2x (0th pct); PeakRatio36M 90%; Multiple3M -40.6%; Earnings-Price Gap -6.9%; CycleHeat 70%. Earnings remain near peak and revisions are still positive, but revision acceleration has turned negative while valuation remains cycle-hot.</x:v>
      </x:c>
    </x:row>
    <x:row r="108">
      <x:c r="A108" s="32" t="n">
        <x:v>46240</x:v>
      </x:c>
      <x:c r="B108" s="33" t="n">
        <x:v>3.5232</x:v>
      </x:c>
      <x:c r="C108" s="40" t="n">
        <x:f>IFERROR((1+B108)/(1+B107)-1,"")</x:f>
        <x:v>-0.1218962939954572</x:v>
      </x:c>
      <x:c r="D108" s="40" t="n">
        <x:f>IFERROR((1+B108)/(1+B105)-1,"")</x:f>
        <x:v>-0.2728675690447867</x:v>
      </x:c>
      <x:c r="E108" s="40" t="n">
        <x:f>IFERROR((1+B108)/(1+B102)-1,"")</x:f>
        <x:v>0.06468317484229358</x:v>
      </x:c>
      <x:c r="F108" s="36" t="n">
        <x:v>2.2</x:v>
      </x:c>
      <x:c r="G108" s="40" t="n">
        <x:f>IFERROR(F108/F105-1,"")</x:f>
        <x:v>-0.473035680161765</x:v>
      </x:c>
      <x:c r="H108" s="38" t="n">
        <x:v>582391.26</x:v>
      </x:c>
      <x:c r="I108" s="40" t="n">
        <x:f>IFERROR(H108/H107-1,"")</x:f>
        <x:v>0.19656496577024396</x:v>
      </x:c>
      <x:c r="J108" s="40" t="n">
        <x:f>IFERROR(H108/H105-1,"")</x:f>
        <x:v>0.19656496577024396</x:v>
      </x:c>
      <x:c r="K108" s="40" t="n">
        <x:f>IFERROR(H108/H102-1,"")</x:f>
        <x:v>1.402016130464336</x:v>
      </x:c>
      <x:c r="L108" s="40" t="n">
        <x:f>IFERROR(J108-J107,"")</x:f>
        <x:v>0.07475333072717238</x:v>
      </x:c>
      <x:c r="M108" s="40" t="n">
        <x:f>IFERROR(J108-D108,"")</x:f>
        <x:v>0.46943253481503067</x:v>
      </x:c>
      <x:c r="N108" s="42" t="str">
        <x:f>IF(J108&lt;0,IF(D108&lt;0,"Down-cycle","Price up / earnings down"),IF(AND(J108&gt;0,L108&lt;0,M108&lt;-0.15),"Late-cycle warning",IF(AND(J108&gt;0,M108&gt;0),"Earnings-led expansion",IF(AND(J108&gt;0,D108&lt;0),"Potential dislocation",IF(AND(J108&gt;0,M108&lt;0),"Price ahead / rerating","Neutral")))))</x:f>
        <x:v>Earnings-led expansion</x:v>
      </x:c>
      <x:c r="O108" s="40" t="n">
        <x:v>-0.8108614583505125</x:v>
      </x:c>
      <x:c r="P108" s="40" t="n">
        <x:v>0.9792881166982852</x:v>
      </x:c>
      <x:c r="Q108" s="40" t="n">
        <x:v>0</x:v>
      </x:c>
      <x:c r="R108" s="40" t="n">
        <x:v>0</x:v>
      </x:c>
      <x:c r="S108" s="40" t="n">
        <x:v>1</x:v>
      </x:c>
      <x:c r="T108" s="40" t="n">
        <x:v>0</x:v>
      </x:c>
      <x:c r="U108" s="40" t="n">
        <x:v>1</x:v>
      </x:c>
      <x:c r="V108" s="40" t="n">
        <x:v>0.5427508408443997</x:v>
      </x:c>
      <x:c r="W108" s="64" t="str">
        <x:v>Stage 10 – Price-Led Roll-over</x:v>
      </x:c>
      <x:c r="X108" s="64" t="str">
        <x:v>Rev3M +19.7%; Accel3M -81.1ppt; Stock3M -27.3%; EV/EBITDA 2.2x (0th pct); PeakRatio36M 100%; Multiple3M -47.3%; Earnings-Price Gap +46.9%; CycleHeat 54%. The stock has turned negative before forward EBITDA revisions have turned negative; price may be leading a future earnings slowdown.</x:v>
      </x:c>
    </x:row>
  </x:sheetData>
  <x:mergeCells>
    <x:mergeCell ref="A1:X1"/>
    <x:mergeCell ref="A2:X2"/>
  </x:mergeCells>
  <x:conditionalFormatting sqref="J8:J108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L9:L108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M8:M108">
    <x:cfRule type="colorScale" priority="3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V5:V108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W5:W108">
    <x:cfRule type="expression" dxfId="6" priority="5">
      <x:formula>OR(ISNUMBER(SEARCH("Downturn",W5)),ISNUMBER(SEARCH("Roll-over",W5)))</x:formula>
    </x:cfRule>
    <x:cfRule type="expression" dxfId="7" priority="6">
      <x:formula>OR(ISNUMBER(SEARCH("Recovery",W5)),ISNUMBER(SEARCH("Bottom",W5)),ISNUMBER(SEARCH("Trough",W5)))</x:formula>
    </x:cfRule>
    <x:cfRule type="expression" dxfId="8" priority="7">
      <x:formula>OR(ISNUMBER(SEARCH("Acceleration",W5)),ISNUMBER(SEARCH("High-Cycle",W5)),ISNUMBER(SEARCH("Late-Cycle",W5)))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03539f87cf4b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3" hidden="0" customWidth="1"/>
    <x:col min="4" max="4" width="22" hidden="0" customWidth="1"/>
    <x:col min="5" max="5" width="20" hidden="0" customWidth="1"/>
    <x:col min="6" max="6" width="20" hidden="0" customWidth="1"/>
    <x:col min="7" max="7" width="22" hidden="0" customWidth="1"/>
    <x:col min="8" max="8" width="26" hidden="0" customWidth="1"/>
    <x:col min="9" max="9" width="33" hidden="0" customWidth="1"/>
    <x:col min="10" max="10" width="82" hidden="0" customWidth="1"/>
  </x:cols>
  <x:sheetData>
    <x:row r="1">
      <x:c r="A1" s="5" t="str">
        <x:v>Memory Cycle Relationship Dashboard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Core interpretation: compare 3M Stock Return with 3M NTM EBITDA Revision. EV/EBITDA explains whether the gap is being driven by multiple expansion/compression.</x:v>
      </x:c>
      <x:c r="B2" s="13"/>
      <x:c r="C2" s="13"/>
      <x:c r="D2" s="13"/>
      <x:c r="E2" s="13"/>
      <x:c r="F2" s="13"/>
      <x:c r="G2" s="13"/>
      <x:c r="H2" s="13"/>
    </x:row>
    <x:row r="4">
      <x:c r="A4" s="20" t="str">
        <x:v>Company</x:v>
      </x:c>
      <x:c r="B4" s="20" t="str">
        <x:v>3M Stock Return</x:v>
      </x:c>
      <x:c r="C4" s="20" t="str">
        <x:v>3M EBITDA Revision</x:v>
      </x:c>
      <x:c r="D4" s="20" t="str">
        <x:v>Revision Acceleration</x:v>
      </x:c>
      <x:c r="E4" s="20" t="str">
        <x:v>NTM EV/EBITDA</x:v>
      </x:c>
      <x:c r="F4" s="20" t="str">
        <x:v>3M Multiple Change</x:v>
      </x:c>
      <x:c r="G4" s="20" t="str">
        <x:v>Earnings - Price Gap</x:v>
      </x:c>
      <x:c r="H4" s="20" t="str">
        <x:v>Current Signal</x:v>
      </x:c>
      <x:c r="I4" s="75" t="str">
        <x:v>Current Cycle Stage</x:v>
      </x:c>
      <x:c r="J4" s="75" t="str">
        <x:v>Cycle Reason</x:v>
      </x:c>
    </x:row>
    <x:row r="5">
      <x:c r="A5" s="50" t="str">
        <x:v>Micron</x:v>
      </x:c>
      <x:c r="B5" s="44" t="n">
        <x:f>'MU Analysis'!D108</x:f>
        <x:v>-0.09220455835147257</x:v>
      </x:c>
      <x:c r="C5" s="44" t="n">
        <x:f>'MU Analysis'!J108</x:f>
        <x:v>0.448556790784171</x:v>
      </x:c>
      <x:c r="D5" s="44" t="n">
        <x:f>'MU Analysis'!O108</x:f>
        <x:v>-0.5976900589451626</x:v>
      </x:c>
      <x:c r="E5" s="45" t="n">
        <x:f>'MU Analysis'!F108</x:f>
        <x:v>4.7</x:v>
      </x:c>
      <x:c r="F5" s="44" t="n">
        <x:f>'MU Analysis'!G108</x:f>
        <x:v>-0.3525676809270576</x:v>
      </x:c>
      <x:c r="G5" s="44" t="n">
        <x:f>'MU Analysis'!M108</x:f>
        <x:v>0.5407613491356436</x:v>
      </x:c>
      <x:c r="H5" s="46" t="str">
        <x:f>'MU Analysis'!N108</x:f>
        <x:v>Earnings-led expansion</x:v>
      </x:c>
      <x:c r="I5" s="46" t="str">
        <x:f>'MU Analysis'!W108</x:f>
        <x:v>Stage 10 – Price-Led Roll-over</x:v>
      </x:c>
      <x:c r="J5" s="76" t="str">
        <x:f>'MU Analysis'!X108</x:f>
        <x:v>Rev3M +44.9%; Accel3M -59.8ppt; Stock3M -9.2%; EV/EBITDA 4.7x (38th pct); PeakRatio36M 100%; Multiple3M -35.3%; Earnings-Price Gap +54.1%; CycleHeat 52%. The stock has turned negative before forward EBITDA revisions have turned negative; price may be leading a future earnings slowdown.</x:v>
      </x:c>
    </x:row>
    <x:row r="6">
      <x:c r="A6" s="50" t="str">
        <x:v>SK hynix</x:v>
      </x:c>
      <x:c r="B6" s="44" t="n">
        <x:f>'SK hynix Analysis'!D108</x:f>
        <x:v>-0.35919296186144734</x:v>
      </x:c>
      <x:c r="C6" s="44" t="n">
        <x:f>'SK hynix Analysis'!J108</x:f>
        <x:v>0.12135325697929833</x:v>
      </x:c>
      <x:c r="D6" s="44" t="n">
        <x:f>'SK hynix Analysis'!O108</x:f>
        <x:v>-0.7689254006502091</x:v>
      </x:c>
      <x:c r="E6" s="45" t="n">
        <x:f>'SK hynix Analysis'!F108</x:f>
        <x:v>2.6</x:v>
      </x:c>
      <x:c r="F6" s="44" t="n">
        <x:f>'SK hynix Analysis'!G108</x:f>
        <x:v>-0.4192585946383608</x:v>
      </x:c>
      <x:c r="G6" s="44" t="n">
        <x:f>'SK hynix Analysis'!M108</x:f>
        <x:v>0.48054621884074566</x:v>
      </x:c>
      <x:c r="H6" s="46" t="str">
        <x:f>'SK hynix Analysis'!N108</x:f>
        <x:v>Earnings-led expansion</x:v>
      </x:c>
      <x:c r="I6" s="46" t="str">
        <x:f>'SK hynix Analysis'!W108</x:f>
        <x:v>Stage 10 – Price-Led Roll-over</x:v>
      </x:c>
      <x:c r="J6" s="76" t="str">
        <x:f>'SK hynix Analysis'!X108</x:f>
        <x:v>Rev3M +12.1%; Accel3M -76.9ppt; Stock3M -35.9%; EV/EBITDA 2.6x (23th pct); PeakRatio36M 82%; Multiple3M -41.9%; Earnings-Price Gap +48.1%; CycleHeat 38%. The stock has turned negative before forward EBITDA revisions have turned negative; price may be leading a future earnings slowdown.</x:v>
      </x:c>
    </x:row>
    <x:row r="7">
      <x:c r="A7" s="50" t="str">
        <x:v>Samsung Electronics</x:v>
      </x:c>
      <x:c r="B7" s="44" t="n">
        <x:f>'Samsung Analysis'!D108</x:f>
        <x:v>-0.2728675690447867</x:v>
      </x:c>
      <x:c r="C7" s="44" t="n">
        <x:f>'Samsung Analysis'!J108</x:f>
        <x:v>0.19656496577024396</x:v>
      </x:c>
      <x:c r="D7" s="44" t="n">
        <x:f>'Samsung Analysis'!O108</x:f>
        <x:v>-0.8108614583505125</x:v>
      </x:c>
      <x:c r="E7" s="45" t="n">
        <x:f>'Samsung Analysis'!F108</x:f>
        <x:v>2.2</x:v>
      </x:c>
      <x:c r="F7" s="44" t="n">
        <x:f>'Samsung Analysis'!G108</x:f>
        <x:v>-0.473035680161765</x:v>
      </x:c>
      <x:c r="G7" s="44" t="n">
        <x:f>'Samsung Analysis'!M108</x:f>
        <x:v>0.46943253481503067</x:v>
      </x:c>
      <x:c r="H7" s="46" t="str">
        <x:f>'Samsung Analysis'!N108</x:f>
        <x:v>Earnings-led expansion</x:v>
      </x:c>
      <x:c r="I7" s="46" t="str">
        <x:f>'Samsung Analysis'!W108</x:f>
        <x:v>Stage 10 – Price-Led Roll-over</x:v>
      </x:c>
      <x:c r="J7" s="76" t="str">
        <x:f>'Samsung Analysis'!X108</x:f>
        <x:v>Rev3M +19.7%; Accel3M -81.1ppt; Stock3M -27.3%; EV/EBITDA 2.2x (0th pct); PeakRatio36M 100%; Multiple3M -47.3%; Earnings-Price Gap +46.9%; CycleHeat 54%. The stock has turned negative before forward EBITDA revisions have turned negative; price may be leading a future earnings slowdown.</x:v>
      </x:c>
    </x:row>
    <x:row r="10">
      <x:c r="A10" s="5" t="str">
        <x:v>How to read the signals</x:v>
      </x:c>
      <x:c r="B10" s="5"/>
      <x:c r="C10" s="5"/>
      <x:c r="D10" s="5" t="str">
        <x:v>Key formulas</x:v>
      </x:c>
      <x:c r="E10" s="5"/>
      <x:c r="F10" s="5"/>
      <x:c r="G10" s="5"/>
      <x:c r="H10" s="5"/>
    </x:row>
    <x:row r="11">
      <x:c r="A11" s="20" t="str">
        <x:v>Signal</x:v>
      </x:c>
      <x:c r="B11" s="20" t="str">
        <x:v>Meaning</x:v>
      </x:c>
      <x:c r="D11" s="20" t="str">
        <x:v>Metric</x:v>
      </x:c>
      <x:c r="E11" s="20" t="str">
        <x:v>Definition</x:v>
      </x:c>
    </x:row>
    <x:row r="12">
      <x:c r="A12" s="53" t="str">
        <x:v>Earnings-led expansion</x:v>
      </x:c>
      <x:c r="B12" s="56" t="str">
        <x:v>3M EBITDA revision is positive and running ahead of stock performance. Fundamentals are doing more work than the share price.</x:v>
      </x:c>
      <x:c r="D12" s="53" t="str">
        <x:v>3M Stock Return</x:v>
      </x:c>
      <x:c r="E12" s="56" t="str">
        <x:v>(1 + cumulative performance now) / (1 + cumulative performance 3 months ago) - 1</x:v>
      </x:c>
    </x:row>
    <x:row r="13">
      <x:c r="A13" s="53" t="str">
        <x:v>Price ahead / rerating</x:v>
      </x:c>
      <x:c r="B13" s="56" t="str">
        <x:v>Stock performance is running ahead of EBITDA revisions. Upside is increasingly multiple-driven.</x:v>
      </x:c>
      <x:c r="D13" s="53" t="str">
        <x:v>3M EBITDA Revision</x:v>
      </x:c>
      <x:c r="E13" s="56" t="str">
        <x:v>NTM EBITDA now / NTM EBITDA 3 months ago - 1</x:v>
      </x:c>
    </x:row>
    <x:row r="14">
      <x:c r="A14" s="53" t="str">
        <x:v>Late-cycle warning</x:v>
      </x:c>
      <x:c r="B14" s="56" t="str">
        <x:v>EBITDA is still being revised up, but revision momentum is slowing and stock price is already far ahead.</x:v>
      </x:c>
      <x:c r="D14" s="53" t="str">
        <x:v>Revision Acceleration</x:v>
      </x:c>
      <x:c r="E14" s="56" t="str">
        <x:v>Current 3M EBITDA revision - prior month's 3M EBITDA revision</x:v>
      </x:c>
    </x:row>
    <x:row r="15">
      <x:c r="A15" s="53" t="str">
        <x:v>Potential dislocation</x:v>
      </x:c>
      <x:c r="B15" s="56" t="str">
        <x:v>EBITDA revisions remain positive while the stock falls. Could be an opportunity, or the stock may be leading an upcoming earnings slowdown.</x:v>
      </x:c>
      <x:c r="D15" s="53" t="str">
        <x:v>3M Multiple Change</x:v>
      </x:c>
      <x:c r="E15" s="56" t="str">
        <x:v>NTM EV/EBITDA now / NTM EV/EBITDA 3 months ago - 1</x:v>
      </x:c>
    </x:row>
    <x:row r="16">
      <x:c r="A16" s="53" t="str">
        <x:v>Down-cycle</x:v>
      </x:c>
      <x:c r="B16" s="56" t="str">
        <x:v>Both stock performance and EBITDA revisions are negative.</x:v>
      </x:c>
      <x:c r="D16" s="53" t="str">
        <x:v>Earnings - Price Gap</x:v>
      </x:c>
      <x:c r="E16" s="56" t="str">
        <x:v>3M EBITDA Revision - 3M Stock Return</x:v>
      </x:c>
    </x:row>
    <x:row r="17">
      <x:c r="A17" s="53" t="str">
        <x:v>Price up / earnings down</x:v>
      </x:c>
      <x:c r="B17" s="56" t="str">
        <x:v>Most dangerous configuration: stock rises while forward EBITDA is being cut.</x:v>
      </x:c>
    </x:row>
  </x:sheetData>
  <x:mergeCells>
    <x:mergeCell ref="A1:H1"/>
    <x:mergeCell ref="A2:H2"/>
    <x:mergeCell ref="A10:H10"/>
    <x:mergeCell ref="D10:H10"/>
  </x:mergeCells>
  <x:conditionalFormatting sqref="B5:B7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C5:C7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D5:D7">
    <x:cfRule type="colorScale" priority="3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F5:F7">
    <x:cfRule type="colorScale" priority="4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G5:G7">
    <x:cfRule type="colorScale" priority="5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4" hidden="0" customWidth="1"/>
    <x:col min="4" max="4" width="46" hidden="0" customWidth="1"/>
    <x:col min="5" max="5" width="50" hidden="0" customWidth="1"/>
    <x:col min="6" max="6" width="28" hidden="0" customWidth="1"/>
    <x:col min="7" max="7" width="16" hidden="0" customWidth="1"/>
    <x:col min="8" max="8" width="16" hidden="0" customWidth="1"/>
  </x:cols>
  <x:sheetData>
    <x:row r="1">
      <x:c r="A1" s="67" t="str">
        <x:v>Memory Cycle Classification Rules</x:v>
      </x:c>
      <x:c r="B1" s="67"/>
      <x:c r="C1" s="67"/>
      <x:c r="D1" s="67"/>
      <x:c r="E1" s="67"/>
      <x:c r="F1" s="67"/>
      <x:c r="G1" s="67"/>
      <x:c r="H1" s="67"/>
    </x:row>
    <x:row r="2">
      <x:c r="A2" s="70" t="str">
        <x:v>Benchmark: each company is standardized against its own Jan-2018 to Dec-2023 historical distribution. The 2024–2026 current cycle is therefore evaluated against the prior-cycle benchmark rather than used to set the thresholds.</x:v>
      </x:c>
      <x:c r="B2" s="70"/>
      <x:c r="C2" s="70"/>
      <x:c r="D2" s="70"/>
      <x:c r="E2" s="70"/>
      <x:c r="F2" s="70"/>
      <x:c r="G2" s="70"/>
      <x:c r="H2" s="70"/>
    </x:row>
    <x:row r="4">
      <x:c r="A4" s="60" t="str">
        <x:v>1. Core Variables Used for Each Monthly Row</x:v>
      </x:c>
      <x:c r="B4" s="60"/>
      <x:c r="C4" s="60"/>
      <x:c r="D4" s="60"/>
      <x:c r="E4" s="60"/>
      <x:c r="F4" s="60"/>
      <x:c r="G4" s="60"/>
      <x:c r="H4" s="60"/>
    </x:row>
    <x:row r="5">
      <x:c r="A5" s="73" t="str">
        <x:v>Variable</x:v>
      </x:c>
      <x:c r="B5" s="73" t="str">
        <x:v>Calculation</x:v>
      </x:c>
      <x:c r="C5" s="73" t="str">
        <x:v>What it measures</x:v>
      </x:c>
      <x:c r="D5" s="73" t="str">
        <x:v>Cycle interpretation</x:v>
      </x:c>
      <x:c r="E5" s="73" t="str">
        <x:v>Primary / Confirming</x:v>
      </x:c>
      <x:c r="F5" s="73" t="str">
        <x:v>Benchmark</x:v>
      </x:c>
    </x:row>
    <x:row r="6">
      <x:c r="A6" s="56" t="str">
        <x:v>3M EBITDA Revision</x:v>
      </x:c>
      <x:c r="B6" s="56" t="str">
        <x:v>NTM EBITDA(t) / NTM EBITDA(t-3) - 1</x:v>
      </x:c>
      <x:c r="C6" s="56" t="str">
        <x:v>Direction of forward earnings expectations</x:v>
      </x:c>
      <x:c r="D6" s="56" t="str">
        <x:v>+ = upgrades; - = cuts</x:v>
      </x:c>
      <x:c r="E6" s="56" t="str">
        <x:v>Primary</x:v>
      </x:c>
      <x:c r="F6" s="56" t="str">
        <x:v>Raw sign + 2018–2023 percentile</x:v>
      </x:c>
    </x:row>
    <x:row r="7">
      <x:c r="A7" s="56" t="str">
        <x:v>3M Revision Acceleration</x:v>
      </x:c>
      <x:c r="B7" s="56" t="str">
        <x:v>Revision3M(t) - Revision3M(t-3)</x:v>
      </x:c>
      <x:c r="C7" s="56" t="str">
        <x:v>Whether upgrades/cuts are accelerating or decelerating</x:v>
      </x:c>
      <x:c r="D7" s="56" t="str">
        <x:v>+ = improving momentum; - = slowing/worsening</x:v>
      </x:c>
      <x:c r="E7" s="56" t="str">
        <x:v>Primary</x:v>
      </x:c>
      <x:c r="F7" s="56" t="str">
        <x:v>2018–2023 percentile</x:v>
      </x:c>
    </x:row>
    <x:row r="8">
      <x:c r="A8" s="56" t="str">
        <x:v>3M Stock Return</x:v>
      </x:c>
      <x:c r="B8" s="56" t="str">
        <x:v>(1+Perf(t))/(1+Perf(t-3))-1</x:v>
      </x:c>
      <x:c r="C8" s="56" t="str">
        <x:v>Market's leading price signal</x:v>
      </x:c>
      <x:c r="D8" s="56" t="str">
        <x:v>Often turns before consensus EBITDA</x:v>
      </x:c>
      <x:c r="E8" s="56" t="str">
        <x:v>Primary confirmation</x:v>
      </x:c>
      <x:c r="F8" s="56" t="str">
        <x:v>2018–2023 percentile</x:v>
      </x:c>
    </x:row>
    <x:row r="9">
      <x:c r="A9" s="56" t="str">
        <x:v>EV/EBITDA Hist Percentile</x:v>
      </x:c>
      <x:c r="B9" s="56" t="str">
        <x:v>Percentile of current NTM multiple vs 2018–2023</x:v>
      </x:c>
      <x:c r="C9" s="56" t="str">
        <x:v>Where valuation sits in prior-cycle distribution</x:v>
      </x:c>
      <x:c r="D9" s="56" t="str">
        <x:v>Low percentile often = high-cycle earnings; high percentile often = trough</x:v>
      </x:c>
      <x:c r="E9" s="56" t="str">
        <x:v>Primary confirmation</x:v>
      </x:c>
      <x:c r="F9" s="56" t="str">
        <x:v>Company-specific</x:v>
      </x:c>
    </x:row>
    <x:row r="10">
      <x:c r="A10" s="56" t="str">
        <x:v>Valuation Heat</x:v>
      </x:c>
      <x:c r="B10" s="56" t="str">
        <x:v>1 - EV/EBITDA Hist Percentile</x:v>
      </x:c>
      <x:c r="C10" s="56" t="str">
        <x:v>Transforms low multiple into high cycle-heat score</x:v>
      </x:c>
      <x:c r="D10" s="56" t="str">
        <x:v>Higher = hotter part of cycle</x:v>
      </x:c>
      <x:c r="E10" s="56" t="str">
        <x:v>Score input</x:v>
      </x:c>
      <x:c r="F10" s="56" t="str">
        <x:v>0–100%</x:v>
      </x:c>
    </x:row>
    <x:row r="11">
      <x:c r="A11" s="56" t="str">
        <x:v>36M EBITDA Peak Ratio</x:v>
      </x:c>
      <x:c r="B11" s="56" t="str">
        <x:v>NTM EBITDA / max(NTM EBITDA over prior 36M)</x:v>
      </x:c>
      <x:c r="C11" s="56" t="str">
        <x:v>How close forward earnings are to recent peak</x:v>
      </x:c>
      <x:c r="D11" s="56" t="str">
        <x:v>&gt;=90% = high/near-peak earnings; &lt;70% = early/mid recovery or downturn</x:v>
      </x:c>
      <x:c r="E11" s="56" t="str">
        <x:v>Primary</x:v>
      </x:c>
      <x:c r="F11" s="56" t="str">
        <x:v>Rolling 36M</x:v>
      </x:c>
    </x:row>
    <x:row r="12">
      <x:c r="A12" s="56" t="str">
        <x:v>3M Multiple Change</x:v>
      </x:c>
      <x:c r="B12" s="56" t="str">
        <x:v>EV/EBITDA(t)/EV/EBITDA(t-3)-1</x:v>
      </x:c>
      <x:c r="C12" s="56" t="str">
        <x:v>Whether multiple is expanding or compressing</x:v>
      </x:c>
      <x:c r="D12" s="56" t="str">
        <x:v>Rising multiple during EBITDA cuts is often bearish</x:v>
      </x:c>
      <x:c r="E12" s="56" t="str">
        <x:v>Confirming</x:v>
      </x:c>
      <x:c r="F12" s="56" t="str">
        <x:v>Raw sign</x:v>
      </x:c>
    </x:row>
    <x:row r="13">
      <x:c r="A13" s="56" t="str">
        <x:v>Earnings - Price Gap</x:v>
      </x:c>
      <x:c r="B13" s="56" t="str">
        <x:v>3M EBITDA Revision - 3M Stock Return</x:v>
      </x:c>
      <x:c r="C13" s="56" t="str">
        <x:v>Whether fundamentals or price are moving faster</x:v>
      </x:c>
      <x:c r="D13" s="56" t="str">
        <x:v>Negative = price ahead; positive = earnings ahead</x:v>
      </x:c>
      <x:c r="E13" s="56" t="str">
        <x:v>Confirming</x:v>
      </x:c>
      <x:c r="F13" s="56" t="str">
        <x:v>Raw spread</x:v>
      </x:c>
    </x:row>
    <x:row r="14">
      <x:c r="A14" s="56" t="str">
        <x:v>Cycle Heat Score</x:v>
      </x:c>
      <x:c r="B14" s="56" t="str">
        <x:v>35% Revision Pctl +25% Accel Pctl +20% Valuation Heat +20% Stock Pctl</x:v>
      </x:c>
      <x:c r="C14" s="56" t="str">
        <x:v>Single 0–100 cycle-temperature summary</x:v>
      </x:c>
      <x:c r="D14" s="56" t="str">
        <x:v>Higher = hotter cycle, but cannot alone identify late-cycle deceleration</x:v>
      </x:c>
      <x:c r="E14" s="56" t="str">
        <x:v>Summary only</x:v>
      </x:c>
      <x:c r="F14" s="56" t="str">
        <x:v>2018–2023 percentiles</x:v>
      </x:c>
    </x:row>
    <x:row r="17">
      <x:c r="A17" s="60" t="str">
        <x:v>2. Detailed Cycle Stages and Rule Precedence</x:v>
      </x:c>
      <x:c r="B17" s="60"/>
      <x:c r="C17" s="60"/>
      <x:c r="D17" s="60"/>
      <x:c r="E17" s="60"/>
      <x:c r="F17" s="60"/>
      <x:c r="G17" s="60"/>
      <x:c r="H17" s="60"/>
    </x:row>
    <x:row r="18">
      <x:c r="A18" s="73" t="str">
        <x:v>Stage</x:v>
      </x:c>
      <x:c r="B18" s="73" t="str">
        <x:v>Name</x:v>
      </x:c>
      <x:c r="C18" s="73" t="str">
        <x:v>Primary Rule</x:v>
      </x:c>
      <x:c r="D18" s="73" t="str">
        <x:v>Typical Confirmers</x:v>
      </x:c>
      <x:c r="E18" s="73" t="str">
        <x:v>Interpretation</x:v>
      </x:c>
      <x:c r="F18" s="73" t="str">
        <x:v>Priority</x:v>
      </x:c>
    </x:row>
    <x:row r="19">
      <x:c r="A19" s="56" t="str">
        <x:v>0</x:v>
      </x:c>
      <x:c r="B19" s="56" t="str">
        <x:v>Insufficient History</x:v>
      </x:c>
      <x:c r="C19" s="56" t="str">
        <x:v>Missing 3M history</x:v>
      </x:c>
      <x:c r="D19" s="56" t="str">
        <x:v>First months of sample</x:v>
      </x:c>
      <x:c r="E19" s="56" t="str">
        <x:v>Do not classify</x:v>
      </x:c>
      <x:c r="F19" s="56" t="str">
        <x:v>Highest</x:v>
      </x:c>
    </x:row>
    <x:row r="20">
      <x:c r="A20" s="56" t="str">
        <x:v>1</x:v>
      </x:c>
      <x:c r="B20" s="56" t="str">
        <x:v>Downturn Acceleration</x:v>
      </x:c>
      <x:c r="C20" s="56" t="str">
        <x:v>Rev&lt;0; Accel&lt;0; Stock&lt;0; PeakRatio&lt;70%</x:v>
      </x:c>
      <x:c r="D20" s="56" t="str">
        <x:v>Multiple usually rising</x:v>
      </x:c>
      <x:c r="E20" s="56" t="str">
        <x:v>Earnings cuts continue after earnings have moved well below peak</x:v>
      </x:c>
      <x:c r="F20" s="56" t="str">
        <x:v>High</x:v>
      </x:c>
    </x:row>
    <x:row r="21">
      <x:c r="A21" s="56" t="str">
        <x:v>2</x:v>
      </x:c>
      <x:c r="B21" s="56" t="str">
        <x:v>Deep Downturn / Capitulation</x:v>
      </x:c>
      <x:c r="C21" s="56" t="str">
        <x:v>Rev&lt;0; Rev Pctl&lt;=20%; Stock&lt;0; Multiple Pctl&gt;=80%; PeakRatio&lt;=65%</x:v>
      </x:c>
      <x:c r="D21" s="56" t="str">
        <x:v>Weak price percentile</x:v>
      </x:c>
      <x:c r="E21" s="56" t="str">
        <x:v>Deep earnings trough / capitulation-like state</x:v>
      </x:c>
      <x:c r="F21" s="56" t="str">
        <x:v>Highest among downturn states</x:v>
      </x:c>
    </x:row>
    <x:row r="22">
      <x:c r="A22" s="56" t="str">
        <x:v>3</x:v>
      </x:c>
      <x:c r="B22" s="56" t="str">
        <x:v>Trough Formation</x:v>
      </x:c>
      <x:c r="C22" s="56" t="str">
        <x:v>Rev&lt;0; Accel&gt;0; Stock&lt;=0</x:v>
      </x:c>
      <x:c r="D22" s="56" t="str">
        <x:v>Cuts becoming less severe</x:v>
      </x:c>
      <x:c r="E22" s="56" t="str">
        <x:v>Bad news is still present but improving</x:v>
      </x:c>
      <x:c r="F22" s="56" t="str">
        <x:v>High</x:v>
      </x:c>
    </x:row>
    <x:row r="23">
      <x:c r="A23" s="56" t="str">
        <x:v>4</x:v>
      </x:c>
      <x:c r="B23" s="56" t="str">
        <x:v>Price-Led Bottom</x:v>
      </x:c>
      <x:c r="C23" s="56" t="str">
        <x:v>Rev&lt;0; Accel&gt;0; Stock&gt;0</x:v>
      </x:c>
      <x:c r="D23" s="56" t="str">
        <x:v>Gap often negative</x:v>
      </x:c>
      <x:c r="E23" s="56" t="str">
        <x:v>Price turns before consensus earnings</x:v>
      </x:c>
      <x:c r="F23" s="56" t="str">
        <x:v>High</x:v>
      </x:c>
    </x:row>
    <x:row r="24">
      <x:c r="A24" s="56" t="str">
        <x:v>5</x:v>
      </x:c>
      <x:c r="B24" s="56" t="str">
        <x:v>Early Recovery</x:v>
      </x:c>
      <x:c r="C24" s="56" t="str">
        <x:v>Rev&gt;0; Accel&gt;0; PeakRatio&lt;70%</x:v>
      </x:c>
      <x:c r="D24" s="56" t="str">
        <x:v>Multiple compresses from high levels</x:v>
      </x:c>
      <x:c r="E24" s="56" t="str">
        <x:v>Forward earnings have turned upward from a low base</x:v>
      </x:c>
      <x:c r="F24" s="56" t="str">
        <x:v>Medium</x:v>
      </x:c>
    </x:row>
    <x:row r="25">
      <x:c r="A25" s="56" t="str">
        <x:v>6</x:v>
      </x:c>
      <x:c r="B25" s="56" t="str">
        <x:v>Broad Recovery</x:v>
      </x:c>
      <x:c r="C25" s="56" t="str">
        <x:v>Rev&gt;0; Accel&gt;=0; not yet high-cycle</x:v>
      </x:c>
      <x:c r="D25" s="56" t="str">
        <x:v>2/3+ memory names often positive</x:v>
      </x:c>
      <x:c r="E25" s="56" t="str">
        <x:v>Normal recovery / expansion</x:v>
      </x:c>
      <x:c r="F25" s="56" t="str">
        <x:v>Default positive state</x:v>
      </x:c>
    </x:row>
    <x:row r="26">
      <x:c r="A26" s="56" t="str">
        <x:v>7</x:v>
      </x:c>
      <x:c r="B26" s="56" t="str">
        <x:v>Earnings Acceleration</x:v>
      </x:c>
      <x:c r="C26" s="56" t="str">
        <x:v>Rev Pctl&gt;=80%; Accel&gt;0; PeakRatio&gt;=75%</x:v>
      </x:c>
      <x:c r="D26" s="56" t="str">
        <x:v>Stock strong; multiple falls</x:v>
      </x:c>
      <x:c r="E26" s="56" t="str">
        <x:v>Upgrades are historically strong and still accelerating</x:v>
      </x:c>
      <x:c r="F26" s="56" t="str">
        <x:v>High</x:v>
      </x:c>
    </x:row>
    <x:row r="27">
      <x:c r="A27" s="56" t="str">
        <x:v>8</x:v>
      </x:c>
      <x:c r="B27" s="56" t="str">
        <x:v>High-Cycle Expansion</x:v>
      </x:c>
      <x:c r="C27" s="56" t="str">
        <x:v>Rev&gt;0; Accel&gt;=0; PeakRatio&gt;=90%; Multiple Pctl&lt;=30%</x:v>
      </x:c>
      <x:c r="D27" s="56" t="str">
        <x:v>Low multiple / high earnings</x:v>
      </x:c>
      <x:c r="E27" s="56" t="str">
        <x:v>High-profit stage; low multiple may be denominator-driven</x:v>
      </x:c>
      <x:c r="F27" s="56" t="str">
        <x:v>High</x:v>
      </x:c>
    </x:row>
    <x:row r="28">
      <x:c r="A28" s="56" t="str">
        <x:v>9</x:v>
      </x:c>
      <x:c r="B28" s="56" t="str">
        <x:v>Late-Cycle Deceleration</x:v>
      </x:c>
      <x:c r="C28" s="56" t="str">
        <x:v>Rev&gt;0; Accel&lt;0; Stock&gt;=0; PeakRatio&gt;=90%; Multiple Pctl&lt;=35%</x:v>
      </x:c>
      <x:c r="D28" s="56" t="str">
        <x:v>Gap may turn negative</x:v>
      </x:c>
      <x:c r="E28" s="56" t="str">
        <x:v>Earnings still high but upgrade momentum is fading</x:v>
      </x:c>
      <x:c r="F28" s="56" t="str">
        <x:v>Very high</x:v>
      </x:c>
    </x:row>
    <x:row r="29">
      <x:c r="A29" s="56" t="str">
        <x:v>10</x:v>
      </x:c>
      <x:c r="B29" s="56" t="str">
        <x:v>Price-Led Roll-over</x:v>
      </x:c>
      <x:c r="C29" s="56" t="str">
        <x:v>Rev&gt;0; Accel&lt;0; Stock&lt;0</x:v>
      </x:c>
      <x:c r="D29" s="56" t="str">
        <x:v>Price leads consensus lower</x:v>
      </x:c>
      <x:c r="E29" s="56" t="str">
        <x:v>Stock may be anticipating an earnings peak before analysts cut</x:v>
      </x:c>
      <x:c r="F29" s="56" t="str">
        <x:v>Very high</x:v>
      </x:c>
    </x:row>
    <x:row r="30">
      <x:c r="A30" s="56" t="str">
        <x:v>11</x:v>
      </x:c>
      <x:c r="B30" s="56" t="str">
        <x:v>Earnings Peak / Roll-over</x:v>
      </x:c>
      <x:c r="C30" s="56" t="str">
        <x:v>Rev&lt;=0; Accel&lt;0; Stock&lt;0; PeakRatio&gt;=90%</x:v>
      </x:c>
      <x:c r="D30" s="56" t="str">
        <x:v>Multiple may start rising</x:v>
      </x:c>
      <x:c r="E30" s="56" t="str">
        <x:v>Forward earnings peak is being confirmed</x:v>
      </x:c>
      <x:c r="F30" s="56" t="str">
        <x:v>Very high</x:v>
      </x:c>
    </x:row>
    <x:row r="31">
      <x:c r="A31" s="56" t="str">
        <x:v>12</x:v>
      </x:c>
      <x:c r="B31" s="56" t="str">
        <x:v>Downturn Confirmation</x:v>
      </x:c>
      <x:c r="C31" s="56" t="str">
        <x:v>Rev&lt;0; Accel&lt;=0; Stock&lt;0; PeakRatio&gt;=70%</x:v>
      </x:c>
      <x:c r="D31" s="56" t="str">
        <x:v>Multiple often rises</x:v>
      </x:c>
      <x:c r="E31" s="56" t="str">
        <x:v>Downcycle confirmed while earnings are still relatively elevated</x:v>
      </x:c>
      <x:c r="F31" s="56" t="str">
        <x:v>Very high</x:v>
      </x:c>
    </x:row>
    <x:row r="32">
      <x:c r="A32" s="56" t="str">
        <x:v>13</x:v>
      </x:c>
      <x:c r="B32" s="56" t="str">
        <x:v>Mixed / Transition</x:v>
      </x:c>
      <x:c r="C32" s="56" t="str">
        <x:v>No dominant rule</x:v>
      </x:c>
      <x:c r="D32" s="56" t="str">
        <x:v>Conflicting indicators</x:v>
      </x:c>
      <x:c r="E32" s="56" t="str">
        <x:v>Wait for 1–3 more monthly observations</x:v>
      </x:c>
      <x:c r="F32" s="56" t="str">
        <x:v>Fallback</x:v>
      </x:c>
    </x:row>
    <x:row r="34">
      <x:c r="A34" s="60" t="str">
        <x:v>3. What the 'Cycle Reason' Column Shows</x:v>
      </x:c>
      <x:c r="B34" s="60"/>
      <x:c r="C34" s="60"/>
      <x:c r="D34" s="60"/>
      <x:c r="E34" s="60"/>
      <x:c r="F34" s="60"/>
      <x:c r="G34" s="60"/>
      <x:c r="H34" s="60"/>
    </x:row>
    <x:row r="35">
      <x:c r="A35" s="56" t="str">
        <x:v>Every monthly reason explicitly prints:</x:v>
      </x:c>
      <x:c r="B35" s="56" t="str">
        <x:v>Rev3M, Accel3M, Stock3M, EV/EBITDA + historical percentile, 36M Peak Ratio, 3M Multiple Change, Earnings-Price Gap, and Cycle Heat.</x:v>
      </x:c>
    </x:row>
    <x:row r="36">
      <x:c r="A36" s="56" t="str">
        <x:v>Why this matters:</x:v>
      </x:c>
      <x:c r="B36" s="56" t="str">
        <x:v>The stage is not based on one metric. Revision sets the earnings direction, acceleration identifies the turning point, price gives the leading signal, and valuation/peak ratio locate the cycle level.</x:v>
      </x:c>
    </x:row>
    <x:row r="37">
      <x:c r="A37" s="56" t="str">
        <x:v>Important limitation:</x:v>
      </x:c>
      <x:c r="B37" s="56" t="str">
        <x:v>EV/EBITDA and NTM EBITDA history are digitized approximations from Koyfin screenshots, so stage classification is intended for cycle research rather than precise trading triggers.</x:v>
      </x:c>
    </x:row>
  </x:sheetData>
  <x:mergeCells>
    <x:mergeCell ref="A1:H1"/>
    <x:mergeCell ref="A2:H2"/>
    <x:mergeCell ref="A4:H4"/>
    <x:mergeCell ref="A17:H17"/>
    <x:mergeCell ref="A34:H34"/>
  </x:mergeCells>
  <x:pageMargins left="0.7" right="0.7" top="0.75" bottom="0.75" header="0.3" footer="0.3"/>
</x:worksheet>
</file>